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00000000-0000-0000-0000-000000000000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ttps://virginiatech-my.sharepoint.com/personal/abible1_vt_edu/Documents/"/>
    </mc:Choice>
  </mc:AlternateContent>
  <xr:revisionPtr revIDLastSave="0" documentId="8_{5B614B86-1BA8-41DD-A6B1-F6DA800FC597}" xr6:coauthVersionLast="47" xr6:coauthVersionMax="47" xr10:uidLastSave="{00000000-0000-0000-0000-000000000000}"/>
  <bookViews>
    <workbookView xWindow="-108" yWindow="-108" windowWidth="23256" windowHeight="12456" firstSheet="3" xr2:uid="{A5DE65F9-0EBD-0046-9FD3-46446516881B}"/>
  </bookViews>
  <sheets>
    <sheet name="Welcome" sheetId="9" r:id="rId1"/>
    <sheet name="Hidden" sheetId="10" r:id="rId2"/>
    <sheet name="Manager Forecast" sheetId="6" r:id="rId3"/>
    <sheet name="Employee Forecast" sheetId="12" r:id="rId4"/>
    <sheet name="Shipping" sheetId="8" r:id="rId5"/>
  </sheets>
  <definedNames>
    <definedName name="_xlchart.v1.0" hidden="1">Shipping!$A$6:$A$61</definedName>
    <definedName name="_xlchart.v1.1" hidden="1">Shipping!$B$5</definedName>
    <definedName name="_xlchart.v1.2" hidden="1">Shipping!$B$6:$B$61</definedName>
    <definedName name="_xlchart.v1.3" hidden="1">Shipping!$C$5</definedName>
    <definedName name="_xlchart.v1.4" hidden="1">Shipping!$C$6:$C$61</definedName>
    <definedName name="_xleta.FREQUENCY" hidden="1" xlm="1">#NAME?</definedName>
    <definedName name="Alexandria">#REF!</definedName>
    <definedName name="Availsupply">Shipping!$B$64:$C$64</definedName>
    <definedName name="Bburg">#REF!</definedName>
    <definedName name="Cburg">#REF!</definedName>
    <definedName name="EPassword">Hidden!$B$10</definedName>
    <definedName name="EUsername">Hidden!$B$9</definedName>
    <definedName name="LoginInfo">Hidden!$A$3:$B$5</definedName>
    <definedName name="LoginInfo1">Hidden!$A$10:$B$12</definedName>
    <definedName name="machine_price" localSheetId="3">'Employee Forecast'!$B$6:$B$57</definedName>
    <definedName name="machine_price">'Manager Forecast'!$B$6:$B$57</definedName>
    <definedName name="Mname">Hidden!$A$3:$A$5</definedName>
    <definedName name="P1_Price">#REF!</definedName>
    <definedName name="P1_Sales">#REF!</definedName>
    <definedName name="Roanoke">#REF!</definedName>
    <definedName name="Salem">#REF!</definedName>
    <definedName name="Sales">#REF!</definedName>
    <definedName name="solver_adj" localSheetId="4" hidden="1">Shipping!$B$6:$C$61</definedName>
    <definedName name="solver_cvg" localSheetId="4" hidden="1">0.0001</definedName>
    <definedName name="solver_drv" localSheetId="4" hidden="1">1</definedName>
    <definedName name="solver_eng" localSheetId="3" hidden="1">1</definedName>
    <definedName name="solver_eng" localSheetId="2" hidden="1">1</definedName>
    <definedName name="solver_eng" localSheetId="4" hidden="1">2</definedName>
    <definedName name="solver_est" localSheetId="4" hidden="1">1</definedName>
    <definedName name="solver_itr" localSheetId="4" hidden="1">2147483647</definedName>
    <definedName name="solver_lhs1" localSheetId="4" hidden="1">Shipping!$B$63:$C$63</definedName>
    <definedName name="solver_lhs2" localSheetId="4" hidden="1">Shipping!$D$6:$D$61</definedName>
    <definedName name="solver_lhs3" localSheetId="4" hidden="1">Shipping!$D$6:$D$61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3" hidden="1">1</definedName>
    <definedName name="solver_neg" localSheetId="2" hidden="1">1</definedName>
    <definedName name="solver_neg" localSheetId="4" hidden="1">1</definedName>
    <definedName name="solver_nod" localSheetId="4" hidden="1">2147483647</definedName>
    <definedName name="solver_num" localSheetId="3" hidden="1">0</definedName>
    <definedName name="solver_num" localSheetId="2" hidden="1">0</definedName>
    <definedName name="solver_num" localSheetId="4" hidden="1">2</definedName>
    <definedName name="solver_nwt" localSheetId="4" hidden="1">1</definedName>
    <definedName name="solver_opt" localSheetId="3" hidden="1">'Employee Forecast'!$O$19</definedName>
    <definedName name="solver_opt" localSheetId="2" hidden="1">'Manager Forecast'!$O$19</definedName>
    <definedName name="solver_opt" localSheetId="4" hidden="1">Shipping!$B$65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2" localSheetId="4" hidden="1">3</definedName>
    <definedName name="solver_rel3" localSheetId="4" hidden="1">3</definedName>
    <definedName name="solver_rhs1" localSheetId="4" hidden="1">Shipping!$B$64:$C$64</definedName>
    <definedName name="solver_rhs2" localSheetId="4" hidden="1">Shipping!$I$6:$I$61</definedName>
    <definedName name="solver_rhs3" localSheetId="4" hidden="1">Shipping!$I$6:$I$61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3" hidden="1">1</definedName>
    <definedName name="solver_typ" localSheetId="2" hidden="1">1</definedName>
    <definedName name="solver_typ" localSheetId="4" hidden="1">2</definedName>
    <definedName name="solver_val" localSheetId="3" hidden="1">0</definedName>
    <definedName name="solver_val" localSheetId="2" hidden="1">0</definedName>
    <definedName name="solver_val" localSheetId="4" hidden="1">0</definedName>
    <definedName name="solver_ver" localSheetId="3" hidden="1">3</definedName>
    <definedName name="solver_ver" localSheetId="2" hidden="1">3</definedName>
    <definedName name="solver_ver" localSheetId="4" hidden="1">3</definedName>
    <definedName name="Total_Shipped">Shipping!$B$6:$C$61</definedName>
    <definedName name="unit_sale" localSheetId="3">'Employee Forecast'!$C$6:$C$57</definedName>
    <definedName name="unit_sale">'Manager Forecast'!$C$6:$C$57</definedName>
    <definedName name="Unit_Shipping_Cost">#REF!</definedName>
    <definedName name="Vienna">#REF!</definedName>
    <definedName name="WH_1">#REF!</definedName>
    <definedName name="WH_2">#REF!</definedName>
  </definedNames>
  <calcPr calcId="191028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8" l="1"/>
  <c r="C63" i="8"/>
  <c r="B63" i="8"/>
  <c r="L10" i="8" s="1"/>
  <c r="C114" i="12"/>
  <c r="B114" i="12"/>
  <c r="C113" i="12"/>
  <c r="B113" i="12"/>
  <c r="C112" i="12"/>
  <c r="B112" i="12"/>
  <c r="C111" i="12"/>
  <c r="B111" i="12"/>
  <c r="C110" i="12"/>
  <c r="B110" i="12"/>
  <c r="C109" i="12"/>
  <c r="B109" i="12"/>
  <c r="C108" i="12"/>
  <c r="B108" i="12"/>
  <c r="C107" i="12"/>
  <c r="B107" i="12"/>
  <c r="C106" i="12"/>
  <c r="B106" i="12"/>
  <c r="C105" i="12"/>
  <c r="B105" i="12"/>
  <c r="C104" i="12"/>
  <c r="B104" i="12"/>
  <c r="C103" i="12"/>
  <c r="B103" i="12"/>
  <c r="C102" i="12"/>
  <c r="B102" i="12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E75" i="12" a="1"/>
  <c r="E75" i="12" s="1"/>
  <c r="H75" i="12" s="1"/>
  <c r="C75" i="12"/>
  <c r="B75" i="12"/>
  <c r="D74" i="12" a="1"/>
  <c r="D74" i="12" s="1"/>
  <c r="G74" i="12" s="1"/>
  <c r="C74" i="12"/>
  <c r="B74" i="12"/>
  <c r="C73" i="12"/>
  <c r="B73" i="12"/>
  <c r="C72" i="12"/>
  <c r="B72" i="12"/>
  <c r="C71" i="12"/>
  <c r="B71" i="12"/>
  <c r="C70" i="12"/>
  <c r="B70" i="12"/>
  <c r="C69" i="12"/>
  <c r="B69" i="12"/>
  <c r="D68" i="12" a="1"/>
  <c r="D68" i="12" s="1"/>
  <c r="G68" i="12" s="1"/>
  <c r="C68" i="12"/>
  <c r="B68" i="12"/>
  <c r="C67" i="12"/>
  <c r="B67" i="12"/>
  <c r="D104" i="12" s="1" a="1"/>
  <c r="D104" i="12" s="1"/>
  <c r="G104" i="12" s="1"/>
  <c r="C66" i="12"/>
  <c r="B66" i="12"/>
  <c r="C65" i="12"/>
  <c r="B65" i="12"/>
  <c r="C64" i="12"/>
  <c r="B64" i="12"/>
  <c r="C63" i="12"/>
  <c r="B63" i="12"/>
  <c r="E113" i="12" s="1" a="1"/>
  <c r="E113" i="12" s="1"/>
  <c r="H113" i="12" s="1"/>
  <c r="H27" i="12"/>
  <c r="H26" i="12"/>
  <c r="H25" i="12"/>
  <c r="H24" i="12"/>
  <c r="H23" i="12"/>
  <c r="H22" i="12"/>
  <c r="H19" i="12"/>
  <c r="H18" i="12"/>
  <c r="H17" i="12"/>
  <c r="H16" i="12"/>
  <c r="H13" i="12"/>
  <c r="H12" i="12"/>
  <c r="H9" i="12"/>
  <c r="H8" i="12"/>
  <c r="H7" i="12"/>
  <c r="H6" i="12"/>
  <c r="E118" i="6"/>
  <c r="D118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64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65" i="6"/>
  <c r="B66" i="6"/>
  <c r="B67" i="6"/>
  <c r="B68" i="6"/>
  <c r="B69" i="6"/>
  <c r="B70" i="6"/>
  <c r="B71" i="6"/>
  <c r="C63" i="6"/>
  <c r="B63" i="6"/>
  <c r="B64" i="6"/>
  <c r="E63" i="12" l="1" a="1"/>
  <c r="E63" i="12" s="1"/>
  <c r="H63" i="12" s="1"/>
  <c r="E64" i="12" a="1"/>
  <c r="E64" i="12" s="1"/>
  <c r="H64" i="12" s="1"/>
  <c r="D69" i="12" a="1"/>
  <c r="D69" i="12" s="1"/>
  <c r="G69" i="12" s="1"/>
  <c r="E70" i="12" a="1"/>
  <c r="E70" i="12" s="1"/>
  <c r="H70" i="12" s="1"/>
  <c r="D75" i="12" a="1"/>
  <c r="D75" i="12" s="1"/>
  <c r="G75" i="12" s="1"/>
  <c r="E76" i="12" a="1"/>
  <c r="E76" i="12" s="1"/>
  <c r="H76" i="12" s="1"/>
  <c r="D81" i="12" a="1"/>
  <c r="D81" i="12" s="1"/>
  <c r="G81" i="12" s="1"/>
  <c r="E82" i="12" a="1"/>
  <c r="E82" i="12" s="1"/>
  <c r="H82" i="12" s="1"/>
  <c r="D87" i="12" a="1"/>
  <c r="D87" i="12" s="1"/>
  <c r="G87" i="12" s="1"/>
  <c r="E88" i="12" a="1"/>
  <c r="E88" i="12" s="1"/>
  <c r="H88" i="12" s="1"/>
  <c r="D93" i="12" a="1"/>
  <c r="D93" i="12" s="1"/>
  <c r="G93" i="12" s="1"/>
  <c r="E94" i="12" a="1"/>
  <c r="E94" i="12" s="1"/>
  <c r="H94" i="12" s="1"/>
  <c r="D99" i="12" a="1"/>
  <c r="D99" i="12" s="1"/>
  <c r="G99" i="12" s="1"/>
  <c r="E100" i="12" a="1"/>
  <c r="E100" i="12" s="1"/>
  <c r="H100" i="12" s="1"/>
  <c r="D105" i="12" a="1"/>
  <c r="D105" i="12" s="1"/>
  <c r="G105" i="12" s="1"/>
  <c r="E106" i="12" a="1"/>
  <c r="E106" i="12" s="1"/>
  <c r="H106" i="12" s="1"/>
  <c r="D111" i="12" a="1"/>
  <c r="D111" i="12" s="1"/>
  <c r="G111" i="12" s="1"/>
  <c r="E112" i="12" a="1"/>
  <c r="E112" i="12" s="1"/>
  <c r="H112" i="12" s="1"/>
  <c r="D92" i="12" a="1"/>
  <c r="D92" i="12" s="1"/>
  <c r="G92" i="12" s="1"/>
  <c r="E111" i="12" a="1"/>
  <c r="E111" i="12" s="1"/>
  <c r="H111" i="12" s="1"/>
  <c r="D118" i="12"/>
  <c r="D67" i="12" a="1"/>
  <c r="D67" i="12" s="1"/>
  <c r="G67" i="12" s="1"/>
  <c r="E68" i="12" a="1"/>
  <c r="E68" i="12" s="1"/>
  <c r="H68" i="12" s="1"/>
  <c r="D73" i="12" a="1"/>
  <c r="D73" i="12" s="1"/>
  <c r="G73" i="12" s="1"/>
  <c r="E74" i="12" a="1"/>
  <c r="E74" i="12" s="1"/>
  <c r="H74" i="12" s="1"/>
  <c r="D79" i="12" a="1"/>
  <c r="D79" i="12" s="1"/>
  <c r="G79" i="12" s="1"/>
  <c r="E80" i="12" a="1"/>
  <c r="E80" i="12" s="1"/>
  <c r="H80" i="12" s="1"/>
  <c r="D85" i="12" a="1"/>
  <c r="D85" i="12" s="1"/>
  <c r="G85" i="12" s="1"/>
  <c r="E86" i="12" a="1"/>
  <c r="E86" i="12" s="1"/>
  <c r="H86" i="12" s="1"/>
  <c r="D91" i="12" a="1"/>
  <c r="D91" i="12" s="1"/>
  <c r="G91" i="12" s="1"/>
  <c r="E92" i="12" a="1"/>
  <c r="E92" i="12" s="1"/>
  <c r="H92" i="12" s="1"/>
  <c r="D97" i="12" a="1"/>
  <c r="D97" i="12" s="1"/>
  <c r="G97" i="12" s="1"/>
  <c r="E98" i="12" a="1"/>
  <c r="E98" i="12" s="1"/>
  <c r="H98" i="12" s="1"/>
  <c r="D103" i="12" a="1"/>
  <c r="D103" i="12" s="1"/>
  <c r="G103" i="12" s="1"/>
  <c r="E104" i="12" a="1"/>
  <c r="E104" i="12" s="1"/>
  <c r="H104" i="12" s="1"/>
  <c r="D109" i="12" a="1"/>
  <c r="D109" i="12" s="1"/>
  <c r="G109" i="12" s="1"/>
  <c r="E110" i="12" a="1"/>
  <c r="E110" i="12" s="1"/>
  <c r="H110" i="12" s="1"/>
  <c r="E118" i="12"/>
  <c r="D66" i="12" a="1"/>
  <c r="D66" i="12" s="1"/>
  <c r="G66" i="12" s="1"/>
  <c r="E67" i="12" a="1"/>
  <c r="E67" i="12" s="1"/>
  <c r="H67" i="12" s="1"/>
  <c r="D72" i="12" a="1"/>
  <c r="D72" i="12" s="1"/>
  <c r="G72" i="12" s="1"/>
  <c r="E73" i="12" a="1"/>
  <c r="E73" i="12" s="1"/>
  <c r="H73" i="12" s="1"/>
  <c r="D78" i="12" a="1"/>
  <c r="D78" i="12" s="1"/>
  <c r="G78" i="12" s="1"/>
  <c r="E79" i="12" a="1"/>
  <c r="E79" i="12" s="1"/>
  <c r="H79" i="12" s="1"/>
  <c r="D84" i="12" a="1"/>
  <c r="D84" i="12" s="1"/>
  <c r="G84" i="12" s="1"/>
  <c r="E85" i="12" a="1"/>
  <c r="E85" i="12" s="1"/>
  <c r="H85" i="12" s="1"/>
  <c r="D90" i="12" a="1"/>
  <c r="D90" i="12" s="1"/>
  <c r="G90" i="12" s="1"/>
  <c r="E91" i="12" a="1"/>
  <c r="E91" i="12" s="1"/>
  <c r="H91" i="12" s="1"/>
  <c r="D96" i="12" a="1"/>
  <c r="D96" i="12" s="1"/>
  <c r="G96" i="12" s="1"/>
  <c r="E97" i="12" a="1"/>
  <c r="E97" i="12" s="1"/>
  <c r="H97" i="12" s="1"/>
  <c r="D102" i="12" a="1"/>
  <c r="D102" i="12" s="1"/>
  <c r="G102" i="12" s="1"/>
  <c r="E103" i="12" a="1"/>
  <c r="E103" i="12" s="1"/>
  <c r="H103" i="12" s="1"/>
  <c r="D108" i="12" a="1"/>
  <c r="D108" i="12" s="1"/>
  <c r="G108" i="12" s="1"/>
  <c r="E109" i="12" a="1"/>
  <c r="E109" i="12" s="1"/>
  <c r="H109" i="12" s="1"/>
  <c r="D114" i="12" a="1"/>
  <c r="D114" i="12" s="1"/>
  <c r="G114" i="12" s="1"/>
  <c r="E69" i="12" a="1"/>
  <c r="E69" i="12" s="1"/>
  <c r="H69" i="12" s="1"/>
  <c r="E81" i="12" a="1"/>
  <c r="E81" i="12" s="1"/>
  <c r="H81" i="12" s="1"/>
  <c r="E87" i="12" a="1"/>
  <c r="E87" i="12" s="1"/>
  <c r="H87" i="12" s="1"/>
  <c r="D98" i="12" a="1"/>
  <c r="D98" i="12" s="1"/>
  <c r="G98" i="12" s="1"/>
  <c r="E105" i="12" a="1"/>
  <c r="E105" i="12" s="1"/>
  <c r="H105" i="12" s="1"/>
  <c r="D65" i="12" a="1"/>
  <c r="D65" i="12" s="1"/>
  <c r="G65" i="12" s="1"/>
  <c r="E66" i="12" a="1"/>
  <c r="E66" i="12" s="1"/>
  <c r="H66" i="12" s="1"/>
  <c r="D71" i="12" a="1"/>
  <c r="D71" i="12" s="1"/>
  <c r="G71" i="12" s="1"/>
  <c r="E72" i="12" a="1"/>
  <c r="E72" i="12" s="1"/>
  <c r="H72" i="12" s="1"/>
  <c r="D77" i="12" a="1"/>
  <c r="D77" i="12" s="1"/>
  <c r="G77" i="12" s="1"/>
  <c r="E78" i="12" a="1"/>
  <c r="E78" i="12" s="1"/>
  <c r="H78" i="12" s="1"/>
  <c r="D83" i="12" a="1"/>
  <c r="D83" i="12" s="1"/>
  <c r="G83" i="12" s="1"/>
  <c r="E84" i="12" a="1"/>
  <c r="E84" i="12" s="1"/>
  <c r="H84" i="12" s="1"/>
  <c r="D89" i="12" a="1"/>
  <c r="D89" i="12" s="1"/>
  <c r="G89" i="12" s="1"/>
  <c r="E90" i="12" a="1"/>
  <c r="E90" i="12" s="1"/>
  <c r="H90" i="12" s="1"/>
  <c r="D95" i="12" a="1"/>
  <c r="D95" i="12" s="1"/>
  <c r="G95" i="12" s="1"/>
  <c r="E96" i="12" a="1"/>
  <c r="E96" i="12" s="1"/>
  <c r="H96" i="12" s="1"/>
  <c r="D101" i="12" a="1"/>
  <c r="D101" i="12" s="1"/>
  <c r="G101" i="12" s="1"/>
  <c r="E102" i="12" a="1"/>
  <c r="E102" i="12" s="1"/>
  <c r="H102" i="12" s="1"/>
  <c r="D107" i="12" a="1"/>
  <c r="D107" i="12" s="1"/>
  <c r="G107" i="12" s="1"/>
  <c r="E108" i="12" a="1"/>
  <c r="E108" i="12" s="1"/>
  <c r="H108" i="12" s="1"/>
  <c r="D113" i="12" a="1"/>
  <c r="D113" i="12" s="1"/>
  <c r="G113" i="12" s="1"/>
  <c r="E114" i="12" a="1"/>
  <c r="E114" i="12" s="1"/>
  <c r="H114" i="12" s="1"/>
  <c r="D80" i="12" a="1"/>
  <c r="D80" i="12" s="1"/>
  <c r="G80" i="12" s="1"/>
  <c r="E93" i="12" a="1"/>
  <c r="E93" i="12" s="1"/>
  <c r="H93" i="12" s="1"/>
  <c r="D110" i="12" a="1"/>
  <c r="D110" i="12" s="1"/>
  <c r="G110" i="12" s="1"/>
  <c r="D86" i="12" a="1"/>
  <c r="D86" i="12" s="1"/>
  <c r="G86" i="12" s="1"/>
  <c r="E99" i="12" a="1"/>
  <c r="E99" i="12" s="1"/>
  <c r="H99" i="12" s="1"/>
  <c r="D63" i="12" a="1"/>
  <c r="D63" i="12" s="1"/>
  <c r="G63" i="12" s="1"/>
  <c r="G121" i="12" s="1"/>
  <c r="D64" i="12" a="1"/>
  <c r="D64" i="12" s="1"/>
  <c r="G64" i="12" s="1"/>
  <c r="E65" i="12" a="1"/>
  <c r="E65" i="12" s="1"/>
  <c r="H65" i="12" s="1"/>
  <c r="D70" i="12" a="1"/>
  <c r="D70" i="12" s="1"/>
  <c r="G70" i="12" s="1"/>
  <c r="E71" i="12" a="1"/>
  <c r="E71" i="12" s="1"/>
  <c r="H71" i="12" s="1"/>
  <c r="D76" i="12" a="1"/>
  <c r="D76" i="12" s="1"/>
  <c r="G76" i="12" s="1"/>
  <c r="E77" i="12" a="1"/>
  <c r="E77" i="12" s="1"/>
  <c r="H77" i="12" s="1"/>
  <c r="D82" i="12" a="1"/>
  <c r="D82" i="12" s="1"/>
  <c r="G82" i="12" s="1"/>
  <c r="E83" i="12" a="1"/>
  <c r="E83" i="12" s="1"/>
  <c r="H83" i="12" s="1"/>
  <c r="D88" i="12" a="1"/>
  <c r="D88" i="12" s="1"/>
  <c r="G88" i="12" s="1"/>
  <c r="E89" i="12" a="1"/>
  <c r="E89" i="12" s="1"/>
  <c r="H89" i="12" s="1"/>
  <c r="D94" i="12" a="1"/>
  <c r="D94" i="12" s="1"/>
  <c r="G94" i="12" s="1"/>
  <c r="E95" i="12" a="1"/>
  <c r="E95" i="12" s="1"/>
  <c r="H95" i="12" s="1"/>
  <c r="D100" i="12" a="1"/>
  <c r="D100" i="12" s="1"/>
  <c r="G100" i="12" s="1"/>
  <c r="E101" i="12" a="1"/>
  <c r="E101" i="12" s="1"/>
  <c r="H101" i="12" s="1"/>
  <c r="D106" i="12" a="1"/>
  <c r="D106" i="12" s="1"/>
  <c r="G106" i="12" s="1"/>
  <c r="E107" i="12" a="1"/>
  <c r="E107" i="12" s="1"/>
  <c r="H107" i="12" s="1"/>
  <c r="D112" i="12" a="1"/>
  <c r="D112" i="12" s="1"/>
  <c r="G112" i="12" s="1"/>
  <c r="E114" i="6" a="1"/>
  <c r="E114" i="6" s="1"/>
  <c r="H114" i="6" s="1"/>
  <c r="D114" i="6" a="1"/>
  <c r="D114" i="6" s="1"/>
  <c r="G114" i="6" s="1"/>
  <c r="E113" i="6" a="1"/>
  <c r="E113" i="6" s="1"/>
  <c r="H113" i="6" s="1"/>
  <c r="D113" i="6" a="1"/>
  <c r="D113" i="6" s="1"/>
  <c r="G113" i="6" s="1"/>
  <c r="E112" i="6" a="1"/>
  <c r="E112" i="6" s="1"/>
  <c r="H112" i="6" s="1"/>
  <c r="D112" i="6" a="1"/>
  <c r="D112" i="6" s="1"/>
  <c r="G112" i="6" s="1"/>
  <c r="E111" i="6" a="1"/>
  <c r="E111" i="6" s="1"/>
  <c r="H111" i="6" s="1"/>
  <c r="D111" i="6" a="1"/>
  <c r="D111" i="6" s="1"/>
  <c r="G111" i="6" s="1"/>
  <c r="E110" i="6" a="1"/>
  <c r="E110" i="6" s="1"/>
  <c r="H110" i="6" s="1"/>
  <c r="D110" i="6" a="1"/>
  <c r="D110" i="6" s="1"/>
  <c r="G110" i="6" s="1"/>
  <c r="E109" i="6" a="1"/>
  <c r="E109" i="6" s="1"/>
  <c r="H109" i="6" s="1"/>
  <c r="D109" i="6" a="1"/>
  <c r="D109" i="6" s="1"/>
  <c r="G109" i="6" s="1"/>
  <c r="E108" i="6" a="1"/>
  <c r="E108" i="6" s="1"/>
  <c r="H108" i="6" s="1"/>
  <c r="D108" i="6" a="1"/>
  <c r="D108" i="6" s="1"/>
  <c r="G108" i="6" s="1"/>
  <c r="E107" i="6" a="1"/>
  <c r="E107" i="6" s="1"/>
  <c r="H107" i="6" s="1"/>
  <c r="D107" i="6" a="1"/>
  <c r="D107" i="6" s="1"/>
  <c r="G107" i="6" s="1"/>
  <c r="E106" i="6" a="1"/>
  <c r="E106" i="6" s="1"/>
  <c r="H106" i="6" s="1"/>
  <c r="D106" i="6" a="1"/>
  <c r="D106" i="6" s="1"/>
  <c r="G106" i="6" s="1"/>
  <c r="E105" i="6" a="1"/>
  <c r="E105" i="6" s="1"/>
  <c r="H105" i="6" s="1"/>
  <c r="D105" i="6" a="1"/>
  <c r="D105" i="6" s="1"/>
  <c r="G105" i="6" s="1"/>
  <c r="E104" i="6" a="1"/>
  <c r="E104" i="6" s="1"/>
  <c r="H104" i="6" s="1"/>
  <c r="D104" i="6" a="1"/>
  <c r="D104" i="6" s="1"/>
  <c r="G104" i="6" s="1"/>
  <c r="E103" i="6" a="1"/>
  <c r="E103" i="6" s="1"/>
  <c r="H103" i="6" s="1"/>
  <c r="D103" i="6" a="1"/>
  <c r="D103" i="6" s="1"/>
  <c r="G103" i="6" s="1"/>
  <c r="E102" i="6" a="1"/>
  <c r="E102" i="6" s="1"/>
  <c r="H102" i="6" s="1"/>
  <c r="D102" i="6" a="1"/>
  <c r="D102" i="6" s="1"/>
  <c r="G102" i="6" s="1"/>
  <c r="E101" i="6" a="1"/>
  <c r="E101" i="6" s="1"/>
  <c r="H101" i="6" s="1"/>
  <c r="D101" i="6" a="1"/>
  <c r="D101" i="6" s="1"/>
  <c r="G101" i="6" s="1"/>
  <c r="E100" i="6" a="1"/>
  <c r="E100" i="6" s="1"/>
  <c r="H100" i="6" s="1"/>
  <c r="D100" i="6" a="1"/>
  <c r="D100" i="6" s="1"/>
  <c r="G100" i="6" s="1"/>
  <c r="E99" i="6" a="1"/>
  <c r="E99" i="6" s="1"/>
  <c r="H99" i="6" s="1"/>
  <c r="D99" i="6" a="1"/>
  <c r="D99" i="6" s="1"/>
  <c r="G99" i="6" s="1"/>
  <c r="E98" i="6" a="1"/>
  <c r="E98" i="6" s="1"/>
  <c r="H98" i="6" s="1"/>
  <c r="D98" i="6" a="1"/>
  <c r="D98" i="6" s="1"/>
  <c r="G98" i="6" s="1"/>
  <c r="E97" i="6" a="1"/>
  <c r="E97" i="6" s="1"/>
  <c r="H97" i="6" s="1"/>
  <c r="D97" i="6" a="1"/>
  <c r="D97" i="6" s="1"/>
  <c r="G97" i="6" s="1"/>
  <c r="E96" i="6" a="1"/>
  <c r="E96" i="6" s="1"/>
  <c r="H96" i="6" s="1"/>
  <c r="D96" i="6" a="1"/>
  <c r="D96" i="6" s="1"/>
  <c r="G96" i="6" s="1"/>
  <c r="E95" i="6" a="1"/>
  <c r="E95" i="6" s="1"/>
  <c r="H95" i="6" s="1"/>
  <c r="D95" i="6" a="1"/>
  <c r="D95" i="6" s="1"/>
  <c r="G95" i="6" s="1"/>
  <c r="E94" i="6" a="1"/>
  <c r="E94" i="6" s="1"/>
  <c r="H94" i="6" s="1"/>
  <c r="D94" i="6" a="1"/>
  <c r="D94" i="6" s="1"/>
  <c r="G94" i="6" s="1"/>
  <c r="E93" i="6" a="1"/>
  <c r="E93" i="6" s="1"/>
  <c r="H93" i="6" s="1"/>
  <c r="D93" i="6" a="1"/>
  <c r="D93" i="6" s="1"/>
  <c r="G93" i="6" s="1"/>
  <c r="E92" i="6" a="1"/>
  <c r="E92" i="6" s="1"/>
  <c r="H92" i="6" s="1"/>
  <c r="D92" i="6" a="1"/>
  <c r="D92" i="6" s="1"/>
  <c r="G92" i="6" s="1"/>
  <c r="E91" i="6" a="1"/>
  <c r="E91" i="6" s="1"/>
  <c r="H91" i="6" s="1"/>
  <c r="D91" i="6" a="1"/>
  <c r="D91" i="6" s="1"/>
  <c r="G91" i="6" s="1"/>
  <c r="E90" i="6" a="1"/>
  <c r="E90" i="6" s="1"/>
  <c r="H90" i="6" s="1"/>
  <c r="D90" i="6" a="1"/>
  <c r="D90" i="6" s="1"/>
  <c r="G90" i="6" s="1"/>
  <c r="E89" i="6" a="1"/>
  <c r="E89" i="6" s="1"/>
  <c r="H89" i="6" s="1"/>
  <c r="D89" i="6" a="1"/>
  <c r="D89" i="6" s="1"/>
  <c r="G89" i="6" s="1"/>
  <c r="E88" i="6" a="1"/>
  <c r="E88" i="6" s="1"/>
  <c r="H88" i="6" s="1"/>
  <c r="D88" i="6" a="1"/>
  <c r="D88" i="6" s="1"/>
  <c r="G88" i="6" s="1"/>
  <c r="E87" i="6" a="1"/>
  <c r="E87" i="6" s="1"/>
  <c r="H87" i="6" s="1"/>
  <c r="D87" i="6" a="1"/>
  <c r="D87" i="6" s="1"/>
  <c r="G87" i="6" s="1"/>
  <c r="E86" i="6" a="1"/>
  <c r="E86" i="6" s="1"/>
  <c r="H86" i="6" s="1"/>
  <c r="D86" i="6" a="1"/>
  <c r="D86" i="6" s="1"/>
  <c r="G86" i="6" s="1"/>
  <c r="E85" i="6" a="1"/>
  <c r="E85" i="6" s="1"/>
  <c r="H85" i="6" s="1"/>
  <c r="D85" i="6" a="1"/>
  <c r="D85" i="6" s="1"/>
  <c r="G85" i="6" s="1"/>
  <c r="E84" i="6" a="1"/>
  <c r="E84" i="6" s="1"/>
  <c r="H84" i="6" s="1"/>
  <c r="D84" i="6" a="1"/>
  <c r="D84" i="6" s="1"/>
  <c r="G84" i="6" s="1"/>
  <c r="E83" i="6" a="1"/>
  <c r="E83" i="6" s="1"/>
  <c r="H83" i="6" s="1"/>
  <c r="D83" i="6" a="1"/>
  <c r="D83" i="6" s="1"/>
  <c r="G83" i="6" s="1"/>
  <c r="E82" i="6" a="1"/>
  <c r="E82" i="6" s="1"/>
  <c r="H82" i="6" s="1"/>
  <c r="D82" i="6" a="1"/>
  <c r="D82" i="6" s="1"/>
  <c r="G82" i="6" s="1"/>
  <c r="E81" i="6" a="1"/>
  <c r="E81" i="6" s="1"/>
  <c r="H81" i="6" s="1"/>
  <c r="D81" i="6" a="1"/>
  <c r="D81" i="6" s="1"/>
  <c r="G81" i="6" s="1"/>
  <c r="E80" i="6" a="1"/>
  <c r="E80" i="6" s="1"/>
  <c r="H80" i="6" s="1"/>
  <c r="D80" i="6" a="1"/>
  <c r="D80" i="6" s="1"/>
  <c r="G80" i="6" s="1"/>
  <c r="E79" i="6" a="1"/>
  <c r="E79" i="6" s="1"/>
  <c r="H79" i="6" s="1"/>
  <c r="D79" i="6" a="1"/>
  <c r="D79" i="6" s="1"/>
  <c r="G79" i="6" s="1"/>
  <c r="E78" i="6" a="1"/>
  <c r="E78" i="6" s="1"/>
  <c r="H78" i="6" s="1"/>
  <c r="D78" i="6" a="1"/>
  <c r="D78" i="6" s="1"/>
  <c r="G78" i="6" s="1"/>
  <c r="E77" i="6" a="1"/>
  <c r="E77" i="6" s="1"/>
  <c r="H77" i="6" s="1"/>
  <c r="D77" i="6" a="1"/>
  <c r="D77" i="6" s="1"/>
  <c r="G77" i="6" s="1"/>
  <c r="E76" i="6" a="1"/>
  <c r="E76" i="6" s="1"/>
  <c r="H76" i="6" s="1"/>
  <c r="D76" i="6" a="1"/>
  <c r="D76" i="6" s="1"/>
  <c r="G76" i="6" s="1"/>
  <c r="E75" i="6" a="1"/>
  <c r="E75" i="6" s="1"/>
  <c r="H75" i="6" s="1"/>
  <c r="D75" i="6" a="1"/>
  <c r="D75" i="6" s="1"/>
  <c r="G75" i="6" s="1"/>
  <c r="E74" i="6" a="1"/>
  <c r="E74" i="6" s="1"/>
  <c r="H74" i="6" s="1"/>
  <c r="D74" i="6" a="1"/>
  <c r="D74" i="6" s="1"/>
  <c r="G74" i="6" s="1"/>
  <c r="E73" i="6" a="1"/>
  <c r="E73" i="6" s="1"/>
  <c r="H73" i="6" s="1"/>
  <c r="D73" i="6" a="1"/>
  <c r="D73" i="6" s="1"/>
  <c r="G73" i="6" s="1"/>
  <c r="E72" i="6" a="1"/>
  <c r="E72" i="6" s="1"/>
  <c r="H72" i="6" s="1"/>
  <c r="D72" i="6" a="1"/>
  <c r="D72" i="6" s="1"/>
  <c r="G72" i="6" s="1"/>
  <c r="E71" i="6" a="1"/>
  <c r="E71" i="6" s="1"/>
  <c r="H71" i="6" s="1"/>
  <c r="D71" i="6" a="1"/>
  <c r="D71" i="6" s="1"/>
  <c r="G71" i="6" s="1"/>
  <c r="E70" i="6" a="1"/>
  <c r="E70" i="6" s="1"/>
  <c r="H70" i="6" s="1"/>
  <c r="D70" i="6" a="1"/>
  <c r="D70" i="6" s="1"/>
  <c r="G70" i="6" s="1"/>
  <c r="E69" i="6" a="1"/>
  <c r="E69" i="6" s="1"/>
  <c r="H69" i="6" s="1"/>
  <c r="D69" i="6" a="1"/>
  <c r="D69" i="6" s="1"/>
  <c r="G69" i="6" s="1"/>
  <c r="E68" i="6" a="1"/>
  <c r="E68" i="6" s="1"/>
  <c r="H68" i="6" s="1"/>
  <c r="D68" i="6" a="1"/>
  <c r="D68" i="6" s="1"/>
  <c r="G68" i="6" s="1"/>
  <c r="E67" i="6" a="1"/>
  <c r="E67" i="6" s="1"/>
  <c r="H67" i="6" s="1"/>
  <c r="D67" i="6" a="1"/>
  <c r="D67" i="6" s="1"/>
  <c r="G67" i="6" s="1"/>
  <c r="E66" i="6" a="1"/>
  <c r="E66" i="6" s="1"/>
  <c r="H66" i="6" s="1"/>
  <c r="D66" i="6" a="1"/>
  <c r="D66" i="6" s="1"/>
  <c r="G66" i="6" s="1"/>
  <c r="E65" i="6" a="1"/>
  <c r="E65" i="6" s="1"/>
  <c r="H65" i="6" s="1"/>
  <c r="D65" i="6" a="1"/>
  <c r="D65" i="6" s="1"/>
  <c r="G65" i="6" s="1"/>
  <c r="E64" i="6" a="1"/>
  <c r="E64" i="6" s="1"/>
  <c r="H64" i="6" s="1"/>
  <c r="D64" i="6" a="1"/>
  <c r="D64" i="6" s="1"/>
  <c r="G64" i="6" s="1"/>
  <c r="E63" i="6" a="1"/>
  <c r="E63" i="6" s="1"/>
  <c r="H63" i="6" s="1"/>
  <c r="D63" i="6" a="1"/>
  <c r="D63" i="6" s="1"/>
  <c r="G63" i="6" s="1"/>
  <c r="H121" i="12" l="1"/>
  <c r="G121" i="6"/>
  <c r="H121" i="6"/>
  <c r="L63" i="6" l="1" a="1"/>
  <c r="L63" i="6" s="1"/>
  <c r="F118" i="6" s="1"/>
  <c r="C118" i="6" s="1"/>
  <c r="K10" i="8"/>
  <c r="M10" i="8"/>
  <c r="K11" i="8"/>
  <c r="M11" i="8"/>
  <c r="K12" i="8"/>
  <c r="F65" i="6" l="1"/>
  <c r="I65" i="6" s="1"/>
  <c r="F80" i="6"/>
  <c r="I80" i="6" s="1"/>
  <c r="F92" i="6"/>
  <c r="I92" i="6" s="1"/>
  <c r="F107" i="6"/>
  <c r="I107" i="6" s="1"/>
  <c r="F63" i="6"/>
  <c r="I63" i="6" s="1"/>
  <c r="F66" i="6"/>
  <c r="I66" i="6" s="1"/>
  <c r="F69" i="6"/>
  <c r="I69" i="6" s="1"/>
  <c r="F72" i="6"/>
  <c r="I72" i="6" s="1"/>
  <c r="F75" i="6"/>
  <c r="I75" i="6" s="1"/>
  <c r="F78" i="6"/>
  <c r="I78" i="6" s="1"/>
  <c r="F81" i="6"/>
  <c r="I81" i="6" s="1"/>
  <c r="F84" i="6"/>
  <c r="I84" i="6" s="1"/>
  <c r="F87" i="6"/>
  <c r="I87" i="6" s="1"/>
  <c r="F90" i="6"/>
  <c r="I90" i="6" s="1"/>
  <c r="F93" i="6"/>
  <c r="I93" i="6" s="1"/>
  <c r="F96" i="6"/>
  <c r="I96" i="6" s="1"/>
  <c r="F99" i="6"/>
  <c r="I99" i="6" s="1"/>
  <c r="F102" i="6"/>
  <c r="I102" i="6" s="1"/>
  <c r="F105" i="6"/>
  <c r="I105" i="6" s="1"/>
  <c r="F108" i="6"/>
  <c r="I108" i="6" s="1"/>
  <c r="F111" i="6"/>
  <c r="I111" i="6" s="1"/>
  <c r="F114" i="6"/>
  <c r="I114" i="6" s="1"/>
  <c r="F74" i="6"/>
  <c r="I74" i="6" s="1"/>
  <c r="F86" i="6"/>
  <c r="I86" i="6" s="1"/>
  <c r="F104" i="6"/>
  <c r="I104" i="6" s="1"/>
  <c r="F64" i="6"/>
  <c r="I64" i="6" s="1"/>
  <c r="F67" i="6"/>
  <c r="I67" i="6" s="1"/>
  <c r="F70" i="6"/>
  <c r="I70" i="6" s="1"/>
  <c r="F73" i="6"/>
  <c r="I73" i="6" s="1"/>
  <c r="F76" i="6"/>
  <c r="I76" i="6" s="1"/>
  <c r="F79" i="6"/>
  <c r="I79" i="6" s="1"/>
  <c r="F82" i="6"/>
  <c r="I82" i="6" s="1"/>
  <c r="F85" i="6"/>
  <c r="I85" i="6" s="1"/>
  <c r="F88" i="6"/>
  <c r="I88" i="6" s="1"/>
  <c r="F91" i="6"/>
  <c r="I91" i="6" s="1"/>
  <c r="F94" i="6"/>
  <c r="I94" i="6" s="1"/>
  <c r="F97" i="6"/>
  <c r="I97" i="6" s="1"/>
  <c r="F100" i="6"/>
  <c r="I100" i="6" s="1"/>
  <c r="F103" i="6"/>
  <c r="I103" i="6" s="1"/>
  <c r="F106" i="6"/>
  <c r="I106" i="6" s="1"/>
  <c r="F109" i="6"/>
  <c r="I109" i="6" s="1"/>
  <c r="F112" i="6"/>
  <c r="I112" i="6" s="1"/>
  <c r="F68" i="6"/>
  <c r="I68" i="6" s="1"/>
  <c r="F83" i="6"/>
  <c r="I83" i="6" s="1"/>
  <c r="F98" i="6"/>
  <c r="I98" i="6" s="1"/>
  <c r="F113" i="6"/>
  <c r="I113" i="6" s="1"/>
  <c r="F89" i="6"/>
  <c r="I89" i="6" s="1"/>
  <c r="F71" i="6"/>
  <c r="I71" i="6" s="1"/>
  <c r="F101" i="6"/>
  <c r="I101" i="6" s="1"/>
  <c r="F77" i="6"/>
  <c r="I77" i="6" s="1"/>
  <c r="F95" i="6"/>
  <c r="I95" i="6" s="1"/>
  <c r="F110" i="6"/>
  <c r="I110" i="6" s="1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" i="8"/>
  <c r="I63" i="8"/>
  <c r="B65" i="8"/>
  <c r="L12" i="8" s="1"/>
  <c r="I121" i="6" l="1"/>
  <c r="G122" i="6" s="1"/>
  <c r="G123" i="6" s="1"/>
  <c r="H27" i="6" l="1"/>
  <c r="H26" i="6"/>
  <c r="H25" i="6"/>
  <c r="H24" i="6"/>
  <c r="H23" i="6"/>
  <c r="H22" i="6"/>
  <c r="H19" i="6"/>
  <c r="H18" i="6"/>
  <c r="H17" i="6"/>
  <c r="H16" i="6"/>
  <c r="H13" i="6"/>
  <c r="H12" i="6"/>
  <c r="H9" i="6"/>
  <c r="H8" i="6"/>
  <c r="H7" i="6"/>
  <c r="H6" i="6"/>
  <c r="L63" i="12" l="1" a="1"/>
  <c r="L63" i="12"/>
  <c r="F68" i="12"/>
  <c r="I68" i="12"/>
  <c r="F74" i="12"/>
  <c r="I74" i="12"/>
  <c r="F80" i="12"/>
  <c r="I80" i="12"/>
  <c r="F86" i="12"/>
  <c r="I86" i="12"/>
  <c r="F92" i="12"/>
  <c r="I92" i="12"/>
  <c r="F98" i="12"/>
  <c r="I98" i="12"/>
  <c r="F104" i="12"/>
  <c r="I104" i="12"/>
  <c r="F110" i="12"/>
  <c r="I110" i="12"/>
  <c r="F63" i="12"/>
  <c r="F76" i="12"/>
  <c r="F64" i="12"/>
  <c r="F82" i="12"/>
  <c r="F67" i="12"/>
  <c r="F73" i="12"/>
  <c r="F79" i="12"/>
  <c r="F85" i="12"/>
  <c r="F91" i="12"/>
  <c r="F97" i="12"/>
  <c r="F103" i="12"/>
  <c r="F109" i="12"/>
  <c r="F88" i="12"/>
  <c r="F94" i="12"/>
  <c r="F106" i="12"/>
  <c r="F66" i="12"/>
  <c r="F72" i="12"/>
  <c r="F78" i="12"/>
  <c r="F84" i="12"/>
  <c r="F90" i="12"/>
  <c r="F96" i="12"/>
  <c r="F102" i="12"/>
  <c r="F108" i="12"/>
  <c r="F114" i="12"/>
  <c r="F118" i="12"/>
  <c r="I106" i="12"/>
  <c r="I94" i="12"/>
  <c r="I88" i="12"/>
  <c r="I82" i="12"/>
  <c r="I76" i="12"/>
  <c r="I64" i="12"/>
  <c r="I63" i="12"/>
  <c r="F65" i="12"/>
  <c r="I65" i="12"/>
  <c r="I66" i="12"/>
  <c r="I67" i="12"/>
  <c r="F69" i="12"/>
  <c r="I69" i="12"/>
  <c r="F70" i="12"/>
  <c r="I70" i="12"/>
  <c r="F71" i="12"/>
  <c r="I71" i="12"/>
  <c r="I72" i="12"/>
  <c r="I73" i="12"/>
  <c r="F75" i="12"/>
  <c r="I75" i="12"/>
  <c r="F77" i="12"/>
  <c r="I77" i="12"/>
  <c r="I78" i="12"/>
  <c r="I79" i="12"/>
  <c r="F81" i="12"/>
  <c r="I81" i="12"/>
  <c r="F83" i="12"/>
  <c r="I83" i="12"/>
  <c r="I84" i="12"/>
  <c r="I85" i="12"/>
  <c r="F87" i="12"/>
  <c r="I87" i="12"/>
  <c r="F89" i="12"/>
  <c r="I89" i="12"/>
  <c r="I90" i="12"/>
  <c r="I91" i="12"/>
  <c r="F93" i="12"/>
  <c r="I93" i="12"/>
  <c r="F95" i="12"/>
  <c r="I95" i="12"/>
  <c r="I96" i="12"/>
  <c r="I97" i="12"/>
  <c r="F99" i="12"/>
  <c r="I99" i="12"/>
  <c r="F100" i="12"/>
  <c r="I100" i="12"/>
  <c r="F101" i="12"/>
  <c r="I101" i="12"/>
  <c r="I102" i="12"/>
  <c r="I103" i="12"/>
  <c r="F105" i="12"/>
  <c r="I105" i="12"/>
  <c r="F107" i="12"/>
  <c r="I107" i="12"/>
  <c r="I108" i="12"/>
  <c r="I109" i="12"/>
  <c r="F111" i="12"/>
  <c r="I111" i="12"/>
  <c r="F112" i="12"/>
  <c r="I112" i="12"/>
  <c r="F113" i="12"/>
  <c r="I113" i="12"/>
  <c r="I114" i="12"/>
  <c r="I121" i="12"/>
  <c r="G122" i="12"/>
  <c r="C118" i="12"/>
  <c r="G12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<sst xmlns="http://schemas.openxmlformats.org/spreadsheetml/2006/main" count="335" uniqueCount="192">
  <si>
    <t>Manager Log-In</t>
  </si>
  <si>
    <t>Username</t>
  </si>
  <si>
    <t>Password</t>
  </si>
  <si>
    <t>Manager1</t>
  </si>
  <si>
    <t>Manager2</t>
  </si>
  <si>
    <t>Manager3</t>
  </si>
  <si>
    <t>Employee Log-In</t>
  </si>
  <si>
    <t>Employee1</t>
  </si>
  <si>
    <t>Employee2</t>
  </si>
  <si>
    <t>Employee3</t>
  </si>
  <si>
    <t>STATISTICS</t>
  </si>
  <si>
    <t>DATA ANALYSIS TOOLPACK</t>
  </si>
  <si>
    <t>Descriptive Statistics Report</t>
  </si>
  <si>
    <t>Histogram Report</t>
  </si>
  <si>
    <t>Product: Espresso Machine</t>
  </si>
  <si>
    <t>Sales</t>
  </si>
  <si>
    <t>Bin</t>
  </si>
  <si>
    <t>Frequency</t>
  </si>
  <si>
    <t>Week</t>
  </si>
  <si>
    <t>Price $</t>
  </si>
  <si>
    <t>Units of Sale</t>
  </si>
  <si>
    <t>Statistics Report</t>
  </si>
  <si>
    <t>Column1</t>
  </si>
  <si>
    <t>Week 1</t>
  </si>
  <si>
    <t>Mean</t>
  </si>
  <si>
    <t>Week 2</t>
  </si>
  <si>
    <t>Standard Deviation</t>
  </si>
  <si>
    <t>Week 3</t>
  </si>
  <si>
    <t>Median</t>
  </si>
  <si>
    <t>Standard Error</t>
  </si>
  <si>
    <t>Week 4</t>
  </si>
  <si>
    <t>Mode</t>
  </si>
  <si>
    <t>Week 5</t>
  </si>
  <si>
    <t>Week 6</t>
  </si>
  <si>
    <t>PERCENTILE</t>
  </si>
  <si>
    <t>More</t>
  </si>
  <si>
    <t>Week 7</t>
  </si>
  <si>
    <t>what number x has k% data &lt;= (INC)</t>
  </si>
  <si>
    <t>Sample Variance</t>
  </si>
  <si>
    <t>Week 8</t>
  </si>
  <si>
    <t>what number x has k% data &lt; (EXC)</t>
  </si>
  <si>
    <t>Kurtosis</t>
  </si>
  <si>
    <t>Week 9</t>
  </si>
  <si>
    <t>Skewness</t>
  </si>
  <si>
    <t>Week 10</t>
  </si>
  <si>
    <t>PERCENTRANK</t>
  </si>
  <si>
    <t>Range</t>
  </si>
  <si>
    <t>Week 11</t>
  </si>
  <si>
    <t>what percent k is &lt;= number x (INC)</t>
  </si>
  <si>
    <t>Minimum</t>
  </si>
  <si>
    <t>Week 12</t>
  </si>
  <si>
    <t>what percent k is &gt; number x (1-INC)</t>
  </si>
  <si>
    <t>Maximum</t>
  </si>
  <si>
    <t>Week 13</t>
  </si>
  <si>
    <t>what percent k is &lt; number x (EXC)</t>
  </si>
  <si>
    <t>Sum</t>
  </si>
  <si>
    <t>Week 14</t>
  </si>
  <si>
    <t>what percent k is &gt;= number x (1-EXC)</t>
  </si>
  <si>
    <t>Count</t>
  </si>
  <si>
    <t>Week 15</t>
  </si>
  <si>
    <t>Week 16</t>
  </si>
  <si>
    <t>(from, to)</t>
  </si>
  <si>
    <t>Intervals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</si>
  <si>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</si>
  <si>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</si>
  <si>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</si>
  <si>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</si>
  <si>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</si>
  <si>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</si>
  <si>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</si>
  <si>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</si>
  <si>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</si>
  <si>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</si>
  <si>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</si>
  <si>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</si>
  <si>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</si>
  <si>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</si>
  <si>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</si>
  <si>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</si>
  <si>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</si>
  <si>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</si>
  <si>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</si>
  <si>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</si>
  <si>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</si>
  <si>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</si>
  <si>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</si>
  <si>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</si>
  <si>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</si>
  <si>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</si>
  <si>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</si>
  <si>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</si>
  <si>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</si>
  <si>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</si>
  <si>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</si>
  <si>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</si>
  <si>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</si>
  <si>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</si>
  <si>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</si>
  <si>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</si>
  <si>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P1-Price</t>
  </si>
  <si>
    <t>P1-Sales</t>
  </si>
  <si>
    <t>Linear (TREND)</t>
  </si>
  <si>
    <t>Exponential (GROWTH)</t>
  </si>
  <si>
    <t>Polynomial (Equation)</t>
  </si>
  <si>
    <t>ABS Error-Linear</t>
  </si>
  <si>
    <t>ABS Error-Exp</t>
  </si>
  <si>
    <t>ABS Error-Poly</t>
  </si>
  <si>
    <t>Polynomial (LINEST)</t>
  </si>
  <si>
    <t>a</t>
  </si>
  <si>
    <t>b</t>
  </si>
  <si>
    <t>c</t>
  </si>
  <si>
    <t>a*x^2 + b*x + c</t>
  </si>
  <si>
    <t>Use best trend to forecast new data value</t>
  </si>
  <si>
    <t>New Week</t>
  </si>
  <si>
    <t>New Price</t>
  </si>
  <si>
    <t>Best Forecast</t>
  </si>
  <si>
    <t>Linear Forecast</t>
  </si>
  <si>
    <t>Exponential Forecast</t>
  </si>
  <si>
    <t>Polynomial Forecast</t>
  </si>
  <si>
    <t>Linear Error</t>
  </si>
  <si>
    <t>Exponential Error</t>
  </si>
  <si>
    <t>Polynomial Error</t>
  </si>
  <si>
    <t>Avg Abs Error</t>
  </si>
  <si>
    <t>Min Avg Abs Error</t>
  </si>
  <si>
    <t>Best Trend</t>
  </si>
  <si>
    <t>z</t>
  </si>
  <si>
    <t>Cities</t>
  </si>
  <si>
    <t>shipped amount wh1</t>
  </si>
  <si>
    <t>shipped amount wh2</t>
  </si>
  <si>
    <t>Total to city</t>
  </si>
  <si>
    <t>shipping cost WH1</t>
  </si>
  <si>
    <t>shipping cost WH2</t>
  </si>
  <si>
    <t>Total demand</t>
  </si>
  <si>
    <t>Goodyear</t>
  </si>
  <si>
    <t>Moreno Valley</t>
  </si>
  <si>
    <t>Phoenix</t>
  </si>
  <si>
    <t>Redlands</t>
  </si>
  <si>
    <t>Rialto</t>
  </si>
  <si>
    <t>Sacramento</t>
  </si>
  <si>
    <t>San Bernardino</t>
  </si>
  <si>
    <t>San Diego</t>
  </si>
  <si>
    <t>Stockton</t>
  </si>
  <si>
    <t>Tracy</t>
  </si>
  <si>
    <t>Aurora</t>
  </si>
  <si>
    <t>Colorado Springs</t>
  </si>
  <si>
    <t>North Haven</t>
  </si>
  <si>
    <t>Wallingford</t>
  </si>
  <si>
    <t>Windsor</t>
  </si>
  <si>
    <t>Middletown</t>
  </si>
  <si>
    <t>Jacksonville</t>
  </si>
  <si>
    <t>Channahon</t>
  </si>
  <si>
    <t>Chicago</t>
  </si>
  <si>
    <t>Edwardsville</t>
  </si>
  <si>
    <t>Elgin</t>
  </si>
  <si>
    <t>Monee</t>
  </si>
  <si>
    <t>Rockford</t>
  </si>
  <si>
    <t>Romeoville</t>
  </si>
  <si>
    <t>Waukegan</t>
  </si>
  <si>
    <t>Bondurant</t>
  </si>
  <si>
    <t>Kansas City</t>
  </si>
  <si>
    <t>Hebron</t>
  </si>
  <si>
    <t>Lexington</t>
  </si>
  <si>
    <t>Shepherdsville</t>
  </si>
  <si>
    <t>Baltimore</t>
  </si>
  <si>
    <t>Sparrows Point</t>
  </si>
  <si>
    <t>Hazel Park</t>
  </si>
  <si>
    <t>Pontiac</t>
  </si>
  <si>
    <t>Romulus</t>
  </si>
  <si>
    <t>Shakopee</t>
  </si>
  <si>
    <t>North Las Vegas</t>
  </si>
  <si>
    <t>Avenel</t>
  </si>
  <si>
    <t>Carteret</t>
  </si>
  <si>
    <t>Edison</t>
  </si>
  <si>
    <t>Swedesboro</t>
  </si>
  <si>
    <t>Manhattan</t>
  </si>
  <si>
    <t>Charlotte</t>
  </si>
  <si>
    <t>Oklahoma City</t>
  </si>
  <si>
    <t>Portland</t>
  </si>
  <si>
    <t>Breinigsville</t>
  </si>
  <si>
    <t>Carlisle</t>
  </si>
  <si>
    <t>Pittsburgh</t>
  </si>
  <si>
    <t>West Columbia</t>
  </si>
  <si>
    <t>Memphis</t>
  </si>
  <si>
    <t>Austin</t>
  </si>
  <si>
    <t>Coppell</t>
  </si>
  <si>
    <t>Dallas</t>
  </si>
  <si>
    <t>Fort Worth</t>
  </si>
  <si>
    <t>Houston</t>
  </si>
  <si>
    <t>Ashland</t>
  </si>
  <si>
    <t>Total from Warehouse</t>
  </si>
  <si>
    <t>Available supply</t>
  </si>
  <si>
    <t xml:space="preserve">Total cost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</si>
</sst>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19"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rgb="FF000000"/>
      <name val="Arial"/>
      <family val="2"/>
    </font>
    <font>
      <sz val="13.5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theme="6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8"/>
      <color rgb="FF0070C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5">
    <xf numFmtId="0" fontId="0" fillId="0" borderId="0" xfId="0"/>
    <xf numFmtId="0" fontId="2" fillId="2" borderId="0" xfId="0" applyFont="1" applyFill="1"/>
    <xf numFmtId="0" fontId="5" fillId="2" borderId="0" xfId="0" applyFont="1" applyFill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0" fontId="1" fillId="0" borderId="0" xfId="0" applyFont="1"/>
    <xf numFmtId="0" fontId="3" fillId="0" borderId="1" xfId="0" applyFont="1" applyBorder="1" applyAlignment="1">
      <alignment horizontal="centerContinuous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3" xfId="0" applyBorder="1"/>
    <xf numFmtId="0" fontId="0" fillId="0" borderId="2" xfId="0" applyBorder="1"/>
    <xf numFmtId="0" fontId="0" fillId="0" borderId="4" xfId="0" applyBorder="1"/>
    <xf numFmtId="10" fontId="0" fillId="0" borderId="2" xfId="0" applyNumberFormat="1" applyBorder="1"/>
    <xf numFmtId="0" fontId="1" fillId="6" borderId="2" xfId="0" applyFont="1" applyFill="1" applyBorder="1"/>
    <xf numFmtId="0" fontId="1" fillId="3" borderId="2" xfId="0" applyFont="1" applyFill="1" applyBorder="1"/>
    <xf numFmtId="0" fontId="0" fillId="0" borderId="0" xfId="0" applyAlignment="1">
      <alignment horizontal="center"/>
    </xf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Continuous"/>
    </xf>
    <xf numFmtId="44" fontId="0" fillId="8" borderId="6" xfId="1" applyFont="1" applyFill="1" applyBorder="1"/>
    <xf numFmtId="0" fontId="8" fillId="6" borderId="5" xfId="0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1" fontId="0" fillId="0" borderId="0" xfId="0" applyNumberFormat="1"/>
    <xf numFmtId="0" fontId="0" fillId="12" borderId="0" xfId="0" applyFill="1"/>
    <xf numFmtId="1" fontId="0" fillId="13" borderId="13" xfId="0" applyNumberFormat="1" applyFill="1" applyBorder="1"/>
    <xf numFmtId="0" fontId="0" fillId="13" borderId="0" xfId="0" applyFill="1"/>
    <xf numFmtId="0" fontId="12" fillId="0" borderId="0" xfId="0" applyFont="1"/>
    <xf numFmtId="0" fontId="14" fillId="1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2" fillId="15" borderId="9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0" fontId="13" fillId="15" borderId="6" xfId="0" applyFont="1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10" fillId="5" borderId="10" xfId="0" applyFont="1" applyFill="1" applyBorder="1"/>
    <xf numFmtId="0" fontId="0" fillId="5" borderId="8" xfId="0" applyFill="1" applyBorder="1"/>
    <xf numFmtId="0" fontId="10" fillId="5" borderId="8" xfId="0" applyFont="1" applyFill="1" applyBorder="1"/>
    <xf numFmtId="0" fontId="0" fillId="5" borderId="11" xfId="0" applyFill="1" applyBorder="1"/>
    <xf numFmtId="0" fontId="3" fillId="17" borderId="0" xfId="0" applyFont="1" applyFill="1"/>
    <xf numFmtId="0" fontId="3" fillId="5" borderId="2" xfId="0" applyFont="1" applyFill="1" applyBorder="1" applyAlignment="1">
      <alignment horizontal="center"/>
    </xf>
    <xf numFmtId="165" fontId="0" fillId="17" borderId="2" xfId="0" applyNumberFormat="1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0" fillId="0" borderId="16" xfId="0" applyBorder="1"/>
    <xf numFmtId="165" fontId="0" fillId="0" borderId="0" xfId="0" applyNumberFormat="1" applyAlignment="1">
      <alignment horizontal="center"/>
    </xf>
    <xf numFmtId="0" fontId="0" fillId="7" borderId="5" xfId="0" applyFill="1" applyBorder="1"/>
    <xf numFmtId="0" fontId="0" fillId="7" borderId="17" xfId="0" applyFill="1" applyBorder="1"/>
    <xf numFmtId="0" fontId="0" fillId="7" borderId="18" xfId="0" applyFill="1" applyBorder="1"/>
    <xf numFmtId="165" fontId="0" fillId="0" borderId="2" xfId="0" applyNumberFormat="1" applyBorder="1"/>
    <xf numFmtId="0" fontId="15" fillId="11" borderId="6" xfId="0" applyFont="1" applyFill="1" applyBorder="1" applyAlignment="1">
      <alignment horizontal="center" vertical="center"/>
    </xf>
    <xf numFmtId="1" fontId="16" fillId="16" borderId="7" xfId="0" applyNumberFormat="1" applyFont="1" applyFill="1" applyBorder="1" applyAlignment="1">
      <alignment horizontal="center" vertical="center"/>
    </xf>
    <xf numFmtId="1" fontId="16" fillId="16" borderId="6" xfId="0" applyNumberFormat="1" applyFont="1" applyFill="1" applyBorder="1" applyAlignment="1">
      <alignment horizontal="center" vertical="center"/>
    </xf>
    <xf numFmtId="1" fontId="16" fillId="16" borderId="9" xfId="0" applyNumberFormat="1" applyFont="1" applyFill="1" applyBorder="1" applyAlignment="1">
      <alignment horizontal="center" vertical="center"/>
    </xf>
    <xf numFmtId="164" fontId="11" fillId="18" borderId="6" xfId="0" applyNumberFormat="1" applyFont="1" applyFill="1" applyBorder="1"/>
    <xf numFmtId="164" fontId="11" fillId="18" borderId="7" xfId="0" applyNumberFormat="1" applyFont="1" applyFill="1" applyBorder="1"/>
    <xf numFmtId="164" fontId="11" fillId="18" borderId="6" xfId="0" applyNumberFormat="1" applyFont="1" applyFill="1" applyBorder="1" applyAlignment="1">
      <alignment wrapText="1"/>
    </xf>
    <xf numFmtId="164" fontId="11" fillId="18" borderId="9" xfId="0" applyNumberFormat="1" applyFont="1" applyFill="1" applyBorder="1" applyAlignment="1">
      <alignment wrapText="1"/>
    </xf>
    <xf numFmtId="0" fontId="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44" fontId="0" fillId="0" borderId="0" xfId="1" applyFont="1"/>
    <xf numFmtId="0" fontId="17" fillId="0" borderId="14" xfId="1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179948843974124"/>
          <c:y val="0.28976427474867528"/>
          <c:w val="0.73903990504371664"/>
          <c:h val="0.44501510424404495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'Manager Forecast'!$N$5:$N$11</c:f>
              <c:strCache>
                <c:ptCount val="7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More</c:v>
                </c:pt>
              </c:strCache>
            </c:strRef>
          </c:cat>
          <c:val>
            <c:numRef>
              <c:f>'Manager Forecast'!$O$5:$O$11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13</c:v>
                </c:pt>
                <c:pt idx="3">
                  <c:v>9</c:v>
                </c:pt>
                <c:pt idx="4">
                  <c:v>7</c:v>
                </c:pt>
                <c:pt idx="5">
                  <c:v>6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9-418A-B669-A4B3095FE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317439"/>
        <c:axId val="189318399"/>
      </c:barChart>
      <c:catAx>
        <c:axId val="189317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318399"/>
        <c:crosses val="autoZero"/>
        <c:auto val="1"/>
        <c:lblAlgn val="ctr"/>
        <c:lblOffset val="100"/>
        <c:noMultiLvlLbl val="0"/>
      </c:catAx>
      <c:valAx>
        <c:axId val="1893183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3174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Price</a:t>
            </a:r>
            <a:r>
              <a:rPr lang="en-US" baseline="0"/>
              <a:t> vs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60903349014746366"/>
                  <c:y val="-0.513873263334866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0316591540231843"/>
                  <c:y val="-0.4871747982391119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45117357520550472"/>
                  <c:y val="-0.486269851280062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'Manager Forecast'!$B$63:$B$114</c:f>
              <c:numCache>
                <c:formatCode>_("$"* #,##0.00_);_("$"* \(#,##0.00\);_("$"* "-"??_);_(@_)</c:formatCode>
                <c:ptCount val="52"/>
                <c:pt idx="0">
                  <c:v>677</c:v>
                </c:pt>
                <c:pt idx="1">
                  <c:v>694</c:v>
                </c:pt>
                <c:pt idx="2">
                  <c:v>670</c:v>
                </c:pt>
                <c:pt idx="3">
                  <c:v>688</c:v>
                </c:pt>
                <c:pt idx="4">
                  <c:v>696</c:v>
                </c:pt>
                <c:pt idx="5">
                  <c:v>706</c:v>
                </c:pt>
                <c:pt idx="6">
                  <c:v>695</c:v>
                </c:pt>
                <c:pt idx="7">
                  <c:v>703</c:v>
                </c:pt>
                <c:pt idx="8">
                  <c:v>692</c:v>
                </c:pt>
                <c:pt idx="9">
                  <c:v>682</c:v>
                </c:pt>
                <c:pt idx="10">
                  <c:v>675</c:v>
                </c:pt>
                <c:pt idx="11">
                  <c:v>693</c:v>
                </c:pt>
                <c:pt idx="12">
                  <c:v>699</c:v>
                </c:pt>
                <c:pt idx="13">
                  <c:v>703</c:v>
                </c:pt>
                <c:pt idx="14">
                  <c:v>686</c:v>
                </c:pt>
                <c:pt idx="15">
                  <c:v>678</c:v>
                </c:pt>
                <c:pt idx="16">
                  <c:v>671</c:v>
                </c:pt>
                <c:pt idx="17">
                  <c:v>688</c:v>
                </c:pt>
                <c:pt idx="18">
                  <c:v>705</c:v>
                </c:pt>
                <c:pt idx="19">
                  <c:v>705</c:v>
                </c:pt>
                <c:pt idx="20">
                  <c:v>673</c:v>
                </c:pt>
                <c:pt idx="21">
                  <c:v>681</c:v>
                </c:pt>
                <c:pt idx="22">
                  <c:v>674</c:v>
                </c:pt>
                <c:pt idx="23">
                  <c:v>675</c:v>
                </c:pt>
                <c:pt idx="24">
                  <c:v>683</c:v>
                </c:pt>
                <c:pt idx="25">
                  <c:v>689</c:v>
                </c:pt>
                <c:pt idx="26">
                  <c:v>707</c:v>
                </c:pt>
                <c:pt idx="27">
                  <c:v>707</c:v>
                </c:pt>
                <c:pt idx="28">
                  <c:v>693</c:v>
                </c:pt>
                <c:pt idx="29">
                  <c:v>677</c:v>
                </c:pt>
                <c:pt idx="30">
                  <c:v>687</c:v>
                </c:pt>
                <c:pt idx="31">
                  <c:v>687</c:v>
                </c:pt>
                <c:pt idx="32">
                  <c:v>686</c:v>
                </c:pt>
                <c:pt idx="33">
                  <c:v>696</c:v>
                </c:pt>
                <c:pt idx="34">
                  <c:v>703</c:v>
                </c:pt>
                <c:pt idx="35">
                  <c:v>670</c:v>
                </c:pt>
                <c:pt idx="36">
                  <c:v>702</c:v>
                </c:pt>
                <c:pt idx="37">
                  <c:v>705</c:v>
                </c:pt>
                <c:pt idx="38">
                  <c:v>685</c:v>
                </c:pt>
                <c:pt idx="39">
                  <c:v>670</c:v>
                </c:pt>
                <c:pt idx="40">
                  <c:v>674</c:v>
                </c:pt>
                <c:pt idx="41">
                  <c:v>705</c:v>
                </c:pt>
                <c:pt idx="42">
                  <c:v>689</c:v>
                </c:pt>
                <c:pt idx="43">
                  <c:v>674</c:v>
                </c:pt>
                <c:pt idx="44">
                  <c:v>670</c:v>
                </c:pt>
                <c:pt idx="45">
                  <c:v>706</c:v>
                </c:pt>
                <c:pt idx="46">
                  <c:v>703</c:v>
                </c:pt>
                <c:pt idx="47">
                  <c:v>694</c:v>
                </c:pt>
                <c:pt idx="48">
                  <c:v>671</c:v>
                </c:pt>
                <c:pt idx="49">
                  <c:v>696</c:v>
                </c:pt>
                <c:pt idx="50">
                  <c:v>691</c:v>
                </c:pt>
                <c:pt idx="51">
                  <c:v>677</c:v>
                </c:pt>
              </c:numCache>
            </c:numRef>
          </c:xVal>
          <c:yVal>
            <c:numRef>
              <c:f>'Manager Forecast'!$C$63:$C$114</c:f>
              <c:numCache>
                <c:formatCode>General</c:formatCode>
                <c:ptCount val="52"/>
                <c:pt idx="0">
                  <c:v>48</c:v>
                </c:pt>
                <c:pt idx="1">
                  <c:v>37</c:v>
                </c:pt>
                <c:pt idx="2">
                  <c:v>16</c:v>
                </c:pt>
                <c:pt idx="3">
                  <c:v>18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19</c:v>
                </c:pt>
                <c:pt idx="8">
                  <c:v>23</c:v>
                </c:pt>
                <c:pt idx="9">
                  <c:v>27</c:v>
                </c:pt>
                <c:pt idx="10">
                  <c:v>16</c:v>
                </c:pt>
                <c:pt idx="11">
                  <c:v>23</c:v>
                </c:pt>
                <c:pt idx="12">
                  <c:v>18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30</c:v>
                </c:pt>
                <c:pt idx="17">
                  <c:v>25</c:v>
                </c:pt>
                <c:pt idx="18">
                  <c:v>26</c:v>
                </c:pt>
                <c:pt idx="19">
                  <c:v>35</c:v>
                </c:pt>
                <c:pt idx="20">
                  <c:v>30</c:v>
                </c:pt>
                <c:pt idx="21">
                  <c:v>12</c:v>
                </c:pt>
                <c:pt idx="22">
                  <c:v>33</c:v>
                </c:pt>
                <c:pt idx="23">
                  <c:v>44</c:v>
                </c:pt>
                <c:pt idx="24">
                  <c:v>24</c:v>
                </c:pt>
                <c:pt idx="25">
                  <c:v>25</c:v>
                </c:pt>
                <c:pt idx="26">
                  <c:v>46</c:v>
                </c:pt>
                <c:pt idx="27">
                  <c:v>33</c:v>
                </c:pt>
                <c:pt idx="28">
                  <c:v>38</c:v>
                </c:pt>
                <c:pt idx="29">
                  <c:v>48</c:v>
                </c:pt>
                <c:pt idx="30">
                  <c:v>40</c:v>
                </c:pt>
                <c:pt idx="31">
                  <c:v>22</c:v>
                </c:pt>
                <c:pt idx="32">
                  <c:v>15</c:v>
                </c:pt>
                <c:pt idx="33">
                  <c:v>22</c:v>
                </c:pt>
                <c:pt idx="34">
                  <c:v>16</c:v>
                </c:pt>
                <c:pt idx="35">
                  <c:v>19</c:v>
                </c:pt>
                <c:pt idx="36">
                  <c:v>13</c:v>
                </c:pt>
                <c:pt idx="37">
                  <c:v>19</c:v>
                </c:pt>
                <c:pt idx="38">
                  <c:v>16</c:v>
                </c:pt>
                <c:pt idx="39">
                  <c:v>16</c:v>
                </c:pt>
                <c:pt idx="40">
                  <c:v>13</c:v>
                </c:pt>
                <c:pt idx="41">
                  <c:v>37</c:v>
                </c:pt>
                <c:pt idx="42">
                  <c:v>33</c:v>
                </c:pt>
                <c:pt idx="43">
                  <c:v>47</c:v>
                </c:pt>
                <c:pt idx="44">
                  <c:v>41</c:v>
                </c:pt>
                <c:pt idx="45">
                  <c:v>29</c:v>
                </c:pt>
                <c:pt idx="46">
                  <c:v>13</c:v>
                </c:pt>
                <c:pt idx="47">
                  <c:v>30</c:v>
                </c:pt>
                <c:pt idx="48">
                  <c:v>45</c:v>
                </c:pt>
                <c:pt idx="49">
                  <c:v>17</c:v>
                </c:pt>
                <c:pt idx="50">
                  <c:v>30</c:v>
                </c:pt>
                <c:pt idx="5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F-4F1E-872D-ACFC5CBEB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01183"/>
        <c:axId val="593701663"/>
      </c:scatterChart>
      <c:valAx>
        <c:axId val="59370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701663"/>
        <c:crosses val="autoZero"/>
        <c:crossBetween val="midCat"/>
      </c:valAx>
      <c:valAx>
        <c:axId val="593701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701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179948843974124"/>
          <c:y val="0.28976427474867528"/>
          <c:w val="0.73903990504371664"/>
          <c:h val="0.44501510424404495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'Employee Forecast'!$N$5:$N$11</c:f>
              <c:strCache>
                <c:ptCount val="7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More</c:v>
                </c:pt>
              </c:strCache>
            </c:strRef>
          </c:cat>
          <c:val>
            <c:numRef>
              <c:f>'Employee Forecast'!$O$5:$O$11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13</c:v>
                </c:pt>
                <c:pt idx="3">
                  <c:v>9</c:v>
                </c:pt>
                <c:pt idx="4">
                  <c:v>7</c:v>
                </c:pt>
                <c:pt idx="5">
                  <c:v>6</c:v>
                </c:pt>
                <c:pt idx="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4-4669-9F29-F4913434F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317439"/>
        <c:axId val="189318399"/>
      </c:barChart>
      <c:catAx>
        <c:axId val="1893174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318399"/>
        <c:crosses val="autoZero"/>
        <c:auto val="1"/>
        <c:lblAlgn val="ctr"/>
        <c:lblOffset val="100"/>
        <c:noMultiLvlLbl val="0"/>
      </c:catAx>
      <c:valAx>
        <c:axId val="1893183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3174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Price</a:t>
            </a:r>
            <a:r>
              <a:rPr lang="en-US" baseline="0"/>
              <a:t> vs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9785414638868883E-2"/>
                  <c:y val="-0.532427072851154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67819989001184644"/>
                  <c:y val="-0.527853751686452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40955643601425107"/>
                  <c:y val="-0.437104768600321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'Employee Forecast'!$B$63:$B$114</c:f>
              <c:numCache>
                <c:formatCode>_("$"* #,##0.00_);_("$"* \(#,##0.00\);_("$"* "-"??_);_(@_)</c:formatCode>
                <c:ptCount val="52"/>
                <c:pt idx="0">
                  <c:v>677</c:v>
                </c:pt>
                <c:pt idx="1">
                  <c:v>694</c:v>
                </c:pt>
                <c:pt idx="2">
                  <c:v>670</c:v>
                </c:pt>
                <c:pt idx="3">
                  <c:v>688</c:v>
                </c:pt>
                <c:pt idx="4">
                  <c:v>696</c:v>
                </c:pt>
                <c:pt idx="5">
                  <c:v>706</c:v>
                </c:pt>
                <c:pt idx="6">
                  <c:v>695</c:v>
                </c:pt>
                <c:pt idx="7">
                  <c:v>703</c:v>
                </c:pt>
                <c:pt idx="8">
                  <c:v>692</c:v>
                </c:pt>
                <c:pt idx="9">
                  <c:v>682</c:v>
                </c:pt>
                <c:pt idx="10">
                  <c:v>675</c:v>
                </c:pt>
                <c:pt idx="11">
                  <c:v>693</c:v>
                </c:pt>
                <c:pt idx="12">
                  <c:v>699</c:v>
                </c:pt>
                <c:pt idx="13">
                  <c:v>703</c:v>
                </c:pt>
                <c:pt idx="14">
                  <c:v>686</c:v>
                </c:pt>
                <c:pt idx="15">
                  <c:v>678</c:v>
                </c:pt>
                <c:pt idx="16">
                  <c:v>671</c:v>
                </c:pt>
                <c:pt idx="17">
                  <c:v>688</c:v>
                </c:pt>
                <c:pt idx="18">
                  <c:v>705</c:v>
                </c:pt>
                <c:pt idx="19">
                  <c:v>705</c:v>
                </c:pt>
                <c:pt idx="20">
                  <c:v>673</c:v>
                </c:pt>
                <c:pt idx="21">
                  <c:v>681</c:v>
                </c:pt>
                <c:pt idx="22">
                  <c:v>674</c:v>
                </c:pt>
                <c:pt idx="23">
                  <c:v>675</c:v>
                </c:pt>
                <c:pt idx="24">
                  <c:v>683</c:v>
                </c:pt>
                <c:pt idx="25">
                  <c:v>689</c:v>
                </c:pt>
                <c:pt idx="26">
                  <c:v>707</c:v>
                </c:pt>
                <c:pt idx="27">
                  <c:v>707</c:v>
                </c:pt>
                <c:pt idx="28">
                  <c:v>693</c:v>
                </c:pt>
                <c:pt idx="29">
                  <c:v>677</c:v>
                </c:pt>
                <c:pt idx="30">
                  <c:v>687</c:v>
                </c:pt>
                <c:pt idx="31">
                  <c:v>687</c:v>
                </c:pt>
                <c:pt idx="32">
                  <c:v>686</c:v>
                </c:pt>
                <c:pt idx="33">
                  <c:v>696</c:v>
                </c:pt>
                <c:pt idx="34">
                  <c:v>703</c:v>
                </c:pt>
                <c:pt idx="35">
                  <c:v>670</c:v>
                </c:pt>
                <c:pt idx="36">
                  <c:v>702</c:v>
                </c:pt>
                <c:pt idx="37">
                  <c:v>705</c:v>
                </c:pt>
                <c:pt idx="38">
                  <c:v>685</c:v>
                </c:pt>
                <c:pt idx="39">
                  <c:v>670</c:v>
                </c:pt>
                <c:pt idx="40">
                  <c:v>674</c:v>
                </c:pt>
                <c:pt idx="41">
                  <c:v>705</c:v>
                </c:pt>
                <c:pt idx="42">
                  <c:v>689</c:v>
                </c:pt>
                <c:pt idx="43">
                  <c:v>674</c:v>
                </c:pt>
                <c:pt idx="44">
                  <c:v>670</c:v>
                </c:pt>
                <c:pt idx="45">
                  <c:v>706</c:v>
                </c:pt>
                <c:pt idx="46">
                  <c:v>703</c:v>
                </c:pt>
                <c:pt idx="47">
                  <c:v>694</c:v>
                </c:pt>
                <c:pt idx="48">
                  <c:v>671</c:v>
                </c:pt>
                <c:pt idx="49">
                  <c:v>696</c:v>
                </c:pt>
                <c:pt idx="50">
                  <c:v>691</c:v>
                </c:pt>
                <c:pt idx="51">
                  <c:v>677</c:v>
                </c:pt>
              </c:numCache>
            </c:numRef>
          </c:xVal>
          <c:yVal>
            <c:numRef>
              <c:f>'Employee Forecast'!$C$63:$C$114</c:f>
              <c:numCache>
                <c:formatCode>General</c:formatCode>
                <c:ptCount val="52"/>
                <c:pt idx="0">
                  <c:v>48</c:v>
                </c:pt>
                <c:pt idx="1">
                  <c:v>37</c:v>
                </c:pt>
                <c:pt idx="2">
                  <c:v>16</c:v>
                </c:pt>
                <c:pt idx="3">
                  <c:v>18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19</c:v>
                </c:pt>
                <c:pt idx="8">
                  <c:v>23</c:v>
                </c:pt>
                <c:pt idx="9">
                  <c:v>27</c:v>
                </c:pt>
                <c:pt idx="10">
                  <c:v>16</c:v>
                </c:pt>
                <c:pt idx="11">
                  <c:v>23</c:v>
                </c:pt>
                <c:pt idx="12">
                  <c:v>18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30</c:v>
                </c:pt>
                <c:pt idx="17">
                  <c:v>25</c:v>
                </c:pt>
                <c:pt idx="18">
                  <c:v>26</c:v>
                </c:pt>
                <c:pt idx="19">
                  <c:v>35</c:v>
                </c:pt>
                <c:pt idx="20">
                  <c:v>30</c:v>
                </c:pt>
                <c:pt idx="21">
                  <c:v>12</c:v>
                </c:pt>
                <c:pt idx="22">
                  <c:v>33</c:v>
                </c:pt>
                <c:pt idx="23">
                  <c:v>44</c:v>
                </c:pt>
                <c:pt idx="24">
                  <c:v>24</c:v>
                </c:pt>
                <c:pt idx="25">
                  <c:v>25</c:v>
                </c:pt>
                <c:pt idx="26">
                  <c:v>46</c:v>
                </c:pt>
                <c:pt idx="27">
                  <c:v>33</c:v>
                </c:pt>
                <c:pt idx="28">
                  <c:v>38</c:v>
                </c:pt>
                <c:pt idx="29">
                  <c:v>48</c:v>
                </c:pt>
                <c:pt idx="30">
                  <c:v>40</c:v>
                </c:pt>
                <c:pt idx="31">
                  <c:v>22</c:v>
                </c:pt>
                <c:pt idx="32">
                  <c:v>15</c:v>
                </c:pt>
                <c:pt idx="33">
                  <c:v>22</c:v>
                </c:pt>
                <c:pt idx="34">
                  <c:v>16</c:v>
                </c:pt>
                <c:pt idx="35">
                  <c:v>19</c:v>
                </c:pt>
                <c:pt idx="36">
                  <c:v>13</c:v>
                </c:pt>
                <c:pt idx="37">
                  <c:v>19</c:v>
                </c:pt>
                <c:pt idx="38">
                  <c:v>16</c:v>
                </c:pt>
                <c:pt idx="39">
                  <c:v>16</c:v>
                </c:pt>
                <c:pt idx="40">
                  <c:v>13</c:v>
                </c:pt>
                <c:pt idx="41">
                  <c:v>37</c:v>
                </c:pt>
                <c:pt idx="42">
                  <c:v>33</c:v>
                </c:pt>
                <c:pt idx="43">
                  <c:v>47</c:v>
                </c:pt>
                <c:pt idx="44">
                  <c:v>41</c:v>
                </c:pt>
                <c:pt idx="45">
                  <c:v>29</c:v>
                </c:pt>
                <c:pt idx="46">
                  <c:v>13</c:v>
                </c:pt>
                <c:pt idx="47">
                  <c:v>30</c:v>
                </c:pt>
                <c:pt idx="48">
                  <c:v>45</c:v>
                </c:pt>
                <c:pt idx="49">
                  <c:v>17</c:v>
                </c:pt>
                <c:pt idx="50">
                  <c:v>30</c:v>
                </c:pt>
                <c:pt idx="5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A2-48FC-BD6A-B6A1EEF1E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701183"/>
        <c:axId val="593701663"/>
      </c:scatterChart>
      <c:valAx>
        <c:axId val="59370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701663"/>
        <c:crosses val="autoZero"/>
        <c:crossBetween val="midCat"/>
      </c:valAx>
      <c:valAx>
        <c:axId val="593701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701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Shipping!$B$5</c:f>
              <c:strCache>
                <c:ptCount val="1"/>
                <c:pt idx="0">
                  <c:v>shipped amount wh1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Shipping!$A$6:$A$61</c:f>
              <c:strCache>
                <c:ptCount val="56"/>
                <c:pt idx="0">
                  <c:v>Goodyear</c:v>
                </c:pt>
                <c:pt idx="1">
                  <c:v>Moreno Valley</c:v>
                </c:pt>
                <c:pt idx="2">
                  <c:v>Phoenix</c:v>
                </c:pt>
                <c:pt idx="3">
                  <c:v>Redlands</c:v>
                </c:pt>
                <c:pt idx="4">
                  <c:v>Rialto</c:v>
                </c:pt>
                <c:pt idx="5">
                  <c:v>Sacramento</c:v>
                </c:pt>
                <c:pt idx="6">
                  <c:v>San Bernardino</c:v>
                </c:pt>
                <c:pt idx="7">
                  <c:v>San Diego</c:v>
                </c:pt>
                <c:pt idx="8">
                  <c:v>Stockton</c:v>
                </c:pt>
                <c:pt idx="9">
                  <c:v>Tracy</c:v>
                </c:pt>
                <c:pt idx="10">
                  <c:v>Aurora</c:v>
                </c:pt>
                <c:pt idx="11">
                  <c:v>Colorado Springs</c:v>
                </c:pt>
                <c:pt idx="12">
                  <c:v>North Haven</c:v>
                </c:pt>
                <c:pt idx="13">
                  <c:v>Wallingford</c:v>
                </c:pt>
                <c:pt idx="14">
                  <c:v>Windsor</c:v>
                </c:pt>
                <c:pt idx="15">
                  <c:v>Middletown</c:v>
                </c:pt>
                <c:pt idx="16">
                  <c:v>Jacksonville</c:v>
                </c:pt>
                <c:pt idx="17">
                  <c:v>Channahon</c:v>
                </c:pt>
                <c:pt idx="18">
                  <c:v>Chicago</c:v>
                </c:pt>
                <c:pt idx="19">
                  <c:v>Edwardsville</c:v>
                </c:pt>
                <c:pt idx="20">
                  <c:v>Elgin</c:v>
                </c:pt>
                <c:pt idx="21">
                  <c:v>Monee</c:v>
                </c:pt>
                <c:pt idx="22">
                  <c:v>Rockford</c:v>
                </c:pt>
                <c:pt idx="23">
                  <c:v>Romeoville</c:v>
                </c:pt>
                <c:pt idx="24">
                  <c:v>Waukegan</c:v>
                </c:pt>
                <c:pt idx="25">
                  <c:v>Bondurant</c:v>
                </c:pt>
                <c:pt idx="26">
                  <c:v>Kansas City</c:v>
                </c:pt>
                <c:pt idx="27">
                  <c:v>Hebron</c:v>
                </c:pt>
                <c:pt idx="28">
                  <c:v>Lexington</c:v>
                </c:pt>
                <c:pt idx="29">
                  <c:v>Shepherdsville</c:v>
                </c:pt>
                <c:pt idx="30">
                  <c:v>Baltimore</c:v>
                </c:pt>
                <c:pt idx="31">
                  <c:v>Sparrows Point</c:v>
                </c:pt>
                <c:pt idx="32">
                  <c:v>Hazel Park</c:v>
                </c:pt>
                <c:pt idx="33">
                  <c:v>Pontiac</c:v>
                </c:pt>
                <c:pt idx="34">
                  <c:v>Romulus</c:v>
                </c:pt>
                <c:pt idx="35">
                  <c:v>Shakopee</c:v>
                </c:pt>
                <c:pt idx="36">
                  <c:v>North Las Vegas</c:v>
                </c:pt>
                <c:pt idx="37">
                  <c:v>Avenel</c:v>
                </c:pt>
                <c:pt idx="38">
                  <c:v>Carteret</c:v>
                </c:pt>
                <c:pt idx="39">
                  <c:v>Edison</c:v>
                </c:pt>
                <c:pt idx="40">
                  <c:v>Swedesboro</c:v>
                </c:pt>
                <c:pt idx="41">
                  <c:v>Manhattan</c:v>
                </c:pt>
                <c:pt idx="42">
                  <c:v>Charlotte</c:v>
                </c:pt>
                <c:pt idx="43">
                  <c:v>Oklahoma City</c:v>
                </c:pt>
                <c:pt idx="44">
                  <c:v>Portland</c:v>
                </c:pt>
                <c:pt idx="45">
                  <c:v>Breinigsville</c:v>
                </c:pt>
                <c:pt idx="46">
                  <c:v>Carlisle</c:v>
                </c:pt>
                <c:pt idx="47">
                  <c:v>Pittsburgh</c:v>
                </c:pt>
                <c:pt idx="48">
                  <c:v>West Columbia</c:v>
                </c:pt>
                <c:pt idx="49">
                  <c:v>Memphis</c:v>
                </c:pt>
                <c:pt idx="50">
                  <c:v>Austin</c:v>
                </c:pt>
                <c:pt idx="51">
                  <c:v>Coppell</c:v>
                </c:pt>
                <c:pt idx="52">
                  <c:v>Dallas</c:v>
                </c:pt>
                <c:pt idx="53">
                  <c:v>Fort Worth</c:v>
                </c:pt>
                <c:pt idx="54">
                  <c:v>Houston</c:v>
                </c:pt>
                <c:pt idx="55">
                  <c:v>Ashland</c:v>
                </c:pt>
              </c:strCache>
            </c:strRef>
          </c:cat>
          <c:val>
            <c:numRef>
              <c:f>Shipping!$B$6:$B$61</c:f>
              <c:numCache>
                <c:formatCode>General</c:formatCode>
                <c:ptCount val="56"/>
                <c:pt idx="0">
                  <c:v>13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35</c:v>
                </c:pt>
                <c:pt idx="11">
                  <c:v>0</c:v>
                </c:pt>
                <c:pt idx="12">
                  <c:v>15</c:v>
                </c:pt>
                <c:pt idx="13">
                  <c:v>12</c:v>
                </c:pt>
                <c:pt idx="14">
                  <c:v>15</c:v>
                </c:pt>
                <c:pt idx="15">
                  <c:v>19</c:v>
                </c:pt>
                <c:pt idx="16">
                  <c:v>20</c:v>
                </c:pt>
                <c:pt idx="17">
                  <c:v>34</c:v>
                </c:pt>
                <c:pt idx="18">
                  <c:v>32</c:v>
                </c:pt>
                <c:pt idx="19">
                  <c:v>43</c:v>
                </c:pt>
                <c:pt idx="20">
                  <c:v>26</c:v>
                </c:pt>
                <c:pt idx="21">
                  <c:v>20</c:v>
                </c:pt>
                <c:pt idx="22">
                  <c:v>30</c:v>
                </c:pt>
                <c:pt idx="23">
                  <c:v>0</c:v>
                </c:pt>
                <c:pt idx="24">
                  <c:v>0</c:v>
                </c:pt>
                <c:pt idx="25">
                  <c:v>12</c:v>
                </c:pt>
                <c:pt idx="26">
                  <c:v>17</c:v>
                </c:pt>
                <c:pt idx="27">
                  <c:v>27</c:v>
                </c:pt>
                <c:pt idx="28">
                  <c:v>0</c:v>
                </c:pt>
                <c:pt idx="29">
                  <c:v>13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32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42</c:v>
                </c:pt>
                <c:pt idx="39">
                  <c:v>0</c:v>
                </c:pt>
                <c:pt idx="40">
                  <c:v>12</c:v>
                </c:pt>
                <c:pt idx="41">
                  <c:v>28</c:v>
                </c:pt>
                <c:pt idx="42">
                  <c:v>21</c:v>
                </c:pt>
                <c:pt idx="43">
                  <c:v>0</c:v>
                </c:pt>
                <c:pt idx="44">
                  <c:v>37</c:v>
                </c:pt>
                <c:pt idx="45">
                  <c:v>18</c:v>
                </c:pt>
                <c:pt idx="46">
                  <c:v>0</c:v>
                </c:pt>
                <c:pt idx="47">
                  <c:v>37</c:v>
                </c:pt>
                <c:pt idx="48">
                  <c:v>0</c:v>
                </c:pt>
                <c:pt idx="49">
                  <c:v>29</c:v>
                </c:pt>
                <c:pt idx="50">
                  <c:v>17</c:v>
                </c:pt>
                <c:pt idx="51">
                  <c:v>21</c:v>
                </c:pt>
                <c:pt idx="52">
                  <c:v>0</c:v>
                </c:pt>
                <c:pt idx="53">
                  <c:v>18</c:v>
                </c:pt>
                <c:pt idx="54">
                  <c:v>19</c:v>
                </c:pt>
                <c:pt idx="5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8-40AA-8A51-608D8B36018B}"/>
            </c:ext>
          </c:extLst>
        </c:ser>
        <c:ser>
          <c:idx val="1"/>
          <c:order val="1"/>
          <c:tx>
            <c:strRef>
              <c:f>Shipping!$C$5</c:f>
              <c:strCache>
                <c:ptCount val="1"/>
                <c:pt idx="0">
                  <c:v>shipped amount wh2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Shipping!$A$6:$A$61</c:f>
              <c:strCache>
                <c:ptCount val="56"/>
                <c:pt idx="0">
                  <c:v>Goodyear</c:v>
                </c:pt>
                <c:pt idx="1">
                  <c:v>Moreno Valley</c:v>
                </c:pt>
                <c:pt idx="2">
                  <c:v>Phoenix</c:v>
                </c:pt>
                <c:pt idx="3">
                  <c:v>Redlands</c:v>
                </c:pt>
                <c:pt idx="4">
                  <c:v>Rialto</c:v>
                </c:pt>
                <c:pt idx="5">
                  <c:v>Sacramento</c:v>
                </c:pt>
                <c:pt idx="6">
                  <c:v>San Bernardino</c:v>
                </c:pt>
                <c:pt idx="7">
                  <c:v>San Diego</c:v>
                </c:pt>
                <c:pt idx="8">
                  <c:v>Stockton</c:v>
                </c:pt>
                <c:pt idx="9">
                  <c:v>Tracy</c:v>
                </c:pt>
                <c:pt idx="10">
                  <c:v>Aurora</c:v>
                </c:pt>
                <c:pt idx="11">
                  <c:v>Colorado Springs</c:v>
                </c:pt>
                <c:pt idx="12">
                  <c:v>North Haven</c:v>
                </c:pt>
                <c:pt idx="13">
                  <c:v>Wallingford</c:v>
                </c:pt>
                <c:pt idx="14">
                  <c:v>Windsor</c:v>
                </c:pt>
                <c:pt idx="15">
                  <c:v>Middletown</c:v>
                </c:pt>
                <c:pt idx="16">
                  <c:v>Jacksonville</c:v>
                </c:pt>
                <c:pt idx="17">
                  <c:v>Channahon</c:v>
                </c:pt>
                <c:pt idx="18">
                  <c:v>Chicago</c:v>
                </c:pt>
                <c:pt idx="19">
                  <c:v>Edwardsville</c:v>
                </c:pt>
                <c:pt idx="20">
                  <c:v>Elgin</c:v>
                </c:pt>
                <c:pt idx="21">
                  <c:v>Monee</c:v>
                </c:pt>
                <c:pt idx="22">
                  <c:v>Rockford</c:v>
                </c:pt>
                <c:pt idx="23">
                  <c:v>Romeoville</c:v>
                </c:pt>
                <c:pt idx="24">
                  <c:v>Waukegan</c:v>
                </c:pt>
                <c:pt idx="25">
                  <c:v>Bondurant</c:v>
                </c:pt>
                <c:pt idx="26">
                  <c:v>Kansas City</c:v>
                </c:pt>
                <c:pt idx="27">
                  <c:v>Hebron</c:v>
                </c:pt>
                <c:pt idx="28">
                  <c:v>Lexington</c:v>
                </c:pt>
                <c:pt idx="29">
                  <c:v>Shepherdsville</c:v>
                </c:pt>
                <c:pt idx="30">
                  <c:v>Baltimore</c:v>
                </c:pt>
                <c:pt idx="31">
                  <c:v>Sparrows Point</c:v>
                </c:pt>
                <c:pt idx="32">
                  <c:v>Hazel Park</c:v>
                </c:pt>
                <c:pt idx="33">
                  <c:v>Pontiac</c:v>
                </c:pt>
                <c:pt idx="34">
                  <c:v>Romulus</c:v>
                </c:pt>
                <c:pt idx="35">
                  <c:v>Shakopee</c:v>
                </c:pt>
                <c:pt idx="36">
                  <c:v>North Las Vegas</c:v>
                </c:pt>
                <c:pt idx="37">
                  <c:v>Avenel</c:v>
                </c:pt>
                <c:pt idx="38">
                  <c:v>Carteret</c:v>
                </c:pt>
                <c:pt idx="39">
                  <c:v>Edison</c:v>
                </c:pt>
                <c:pt idx="40">
                  <c:v>Swedesboro</c:v>
                </c:pt>
                <c:pt idx="41">
                  <c:v>Manhattan</c:v>
                </c:pt>
                <c:pt idx="42">
                  <c:v>Charlotte</c:v>
                </c:pt>
                <c:pt idx="43">
                  <c:v>Oklahoma City</c:v>
                </c:pt>
                <c:pt idx="44">
                  <c:v>Portland</c:v>
                </c:pt>
                <c:pt idx="45">
                  <c:v>Breinigsville</c:v>
                </c:pt>
                <c:pt idx="46">
                  <c:v>Carlisle</c:v>
                </c:pt>
                <c:pt idx="47">
                  <c:v>Pittsburgh</c:v>
                </c:pt>
                <c:pt idx="48">
                  <c:v>West Columbia</c:v>
                </c:pt>
                <c:pt idx="49">
                  <c:v>Memphis</c:v>
                </c:pt>
                <c:pt idx="50">
                  <c:v>Austin</c:v>
                </c:pt>
                <c:pt idx="51">
                  <c:v>Coppell</c:v>
                </c:pt>
                <c:pt idx="52">
                  <c:v>Dallas</c:v>
                </c:pt>
                <c:pt idx="53">
                  <c:v>Fort Worth</c:v>
                </c:pt>
                <c:pt idx="54">
                  <c:v>Houston</c:v>
                </c:pt>
                <c:pt idx="55">
                  <c:v>Ashland</c:v>
                </c:pt>
              </c:strCache>
            </c:strRef>
          </c:cat>
          <c:val>
            <c:numRef>
              <c:f>Shipping!$C$6:$C$61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29</c:v>
                </c:pt>
                <c:pt idx="3">
                  <c:v>23</c:v>
                </c:pt>
                <c:pt idx="4">
                  <c:v>30</c:v>
                </c:pt>
                <c:pt idx="5">
                  <c:v>32</c:v>
                </c:pt>
                <c:pt idx="6">
                  <c:v>0</c:v>
                </c:pt>
                <c:pt idx="7">
                  <c:v>24</c:v>
                </c:pt>
                <c:pt idx="8">
                  <c:v>21</c:v>
                </c:pt>
                <c:pt idx="9">
                  <c:v>0</c:v>
                </c:pt>
                <c:pt idx="10">
                  <c:v>0</c:v>
                </c:pt>
                <c:pt idx="11">
                  <c:v>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27</c:v>
                </c:pt>
                <c:pt idx="24">
                  <c:v>14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31</c:v>
                </c:pt>
                <c:pt idx="29">
                  <c:v>0</c:v>
                </c:pt>
                <c:pt idx="30">
                  <c:v>18</c:v>
                </c:pt>
                <c:pt idx="31">
                  <c:v>41</c:v>
                </c:pt>
                <c:pt idx="32">
                  <c:v>37</c:v>
                </c:pt>
                <c:pt idx="33">
                  <c:v>0</c:v>
                </c:pt>
                <c:pt idx="34">
                  <c:v>0</c:v>
                </c:pt>
                <c:pt idx="35">
                  <c:v>21</c:v>
                </c:pt>
                <c:pt idx="36">
                  <c:v>35</c:v>
                </c:pt>
                <c:pt idx="37">
                  <c:v>46</c:v>
                </c:pt>
                <c:pt idx="38">
                  <c:v>0</c:v>
                </c:pt>
                <c:pt idx="39">
                  <c:v>29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34</c:v>
                </c:pt>
                <c:pt idx="44">
                  <c:v>0</c:v>
                </c:pt>
                <c:pt idx="45">
                  <c:v>5</c:v>
                </c:pt>
                <c:pt idx="46">
                  <c:v>25</c:v>
                </c:pt>
                <c:pt idx="47">
                  <c:v>0</c:v>
                </c:pt>
                <c:pt idx="48">
                  <c:v>20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17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8-40AA-8A51-608D8B360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669519"/>
        <c:axId val="1244669039"/>
      </c:barChart>
      <c:lineChart>
        <c:grouping val="standard"/>
        <c:varyColors val="0"/>
        <c:ser>
          <c:idx val="2"/>
          <c:order val="2"/>
          <c:tx>
            <c:strRef>
              <c:f>Shipping!$D$5</c:f>
              <c:strCache>
                <c:ptCount val="1"/>
                <c:pt idx="0">
                  <c:v>Total to city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Shipping!$A$6:$A$61</c:f>
              <c:strCache>
                <c:ptCount val="56"/>
                <c:pt idx="0">
                  <c:v>Goodyear</c:v>
                </c:pt>
                <c:pt idx="1">
                  <c:v>Moreno Valley</c:v>
                </c:pt>
                <c:pt idx="2">
                  <c:v>Phoenix</c:v>
                </c:pt>
                <c:pt idx="3">
                  <c:v>Redlands</c:v>
                </c:pt>
                <c:pt idx="4">
                  <c:v>Rialto</c:v>
                </c:pt>
                <c:pt idx="5">
                  <c:v>Sacramento</c:v>
                </c:pt>
                <c:pt idx="6">
                  <c:v>San Bernardino</c:v>
                </c:pt>
                <c:pt idx="7">
                  <c:v>San Diego</c:v>
                </c:pt>
                <c:pt idx="8">
                  <c:v>Stockton</c:v>
                </c:pt>
                <c:pt idx="9">
                  <c:v>Tracy</c:v>
                </c:pt>
                <c:pt idx="10">
                  <c:v>Aurora</c:v>
                </c:pt>
                <c:pt idx="11">
                  <c:v>Colorado Springs</c:v>
                </c:pt>
                <c:pt idx="12">
                  <c:v>North Haven</c:v>
                </c:pt>
                <c:pt idx="13">
                  <c:v>Wallingford</c:v>
                </c:pt>
                <c:pt idx="14">
                  <c:v>Windsor</c:v>
                </c:pt>
                <c:pt idx="15">
                  <c:v>Middletown</c:v>
                </c:pt>
                <c:pt idx="16">
                  <c:v>Jacksonville</c:v>
                </c:pt>
                <c:pt idx="17">
                  <c:v>Channahon</c:v>
                </c:pt>
                <c:pt idx="18">
                  <c:v>Chicago</c:v>
                </c:pt>
                <c:pt idx="19">
                  <c:v>Edwardsville</c:v>
                </c:pt>
                <c:pt idx="20">
                  <c:v>Elgin</c:v>
                </c:pt>
                <c:pt idx="21">
                  <c:v>Monee</c:v>
                </c:pt>
                <c:pt idx="22">
                  <c:v>Rockford</c:v>
                </c:pt>
                <c:pt idx="23">
                  <c:v>Romeoville</c:v>
                </c:pt>
                <c:pt idx="24">
                  <c:v>Waukegan</c:v>
                </c:pt>
                <c:pt idx="25">
                  <c:v>Bondurant</c:v>
                </c:pt>
                <c:pt idx="26">
                  <c:v>Kansas City</c:v>
                </c:pt>
                <c:pt idx="27">
                  <c:v>Hebron</c:v>
                </c:pt>
                <c:pt idx="28">
                  <c:v>Lexington</c:v>
                </c:pt>
                <c:pt idx="29">
                  <c:v>Shepherdsville</c:v>
                </c:pt>
                <c:pt idx="30">
                  <c:v>Baltimore</c:v>
                </c:pt>
                <c:pt idx="31">
                  <c:v>Sparrows Point</c:v>
                </c:pt>
                <c:pt idx="32">
                  <c:v>Hazel Park</c:v>
                </c:pt>
                <c:pt idx="33">
                  <c:v>Pontiac</c:v>
                </c:pt>
                <c:pt idx="34">
                  <c:v>Romulus</c:v>
                </c:pt>
                <c:pt idx="35">
                  <c:v>Shakopee</c:v>
                </c:pt>
                <c:pt idx="36">
                  <c:v>North Las Vegas</c:v>
                </c:pt>
                <c:pt idx="37">
                  <c:v>Avenel</c:v>
                </c:pt>
                <c:pt idx="38">
                  <c:v>Carteret</c:v>
                </c:pt>
                <c:pt idx="39">
                  <c:v>Edison</c:v>
                </c:pt>
                <c:pt idx="40">
                  <c:v>Swedesboro</c:v>
                </c:pt>
                <c:pt idx="41">
                  <c:v>Manhattan</c:v>
                </c:pt>
                <c:pt idx="42">
                  <c:v>Charlotte</c:v>
                </c:pt>
                <c:pt idx="43">
                  <c:v>Oklahoma City</c:v>
                </c:pt>
                <c:pt idx="44">
                  <c:v>Portland</c:v>
                </c:pt>
                <c:pt idx="45">
                  <c:v>Breinigsville</c:v>
                </c:pt>
                <c:pt idx="46">
                  <c:v>Carlisle</c:v>
                </c:pt>
                <c:pt idx="47">
                  <c:v>Pittsburgh</c:v>
                </c:pt>
                <c:pt idx="48">
                  <c:v>West Columbia</c:v>
                </c:pt>
                <c:pt idx="49">
                  <c:v>Memphis</c:v>
                </c:pt>
                <c:pt idx="50">
                  <c:v>Austin</c:v>
                </c:pt>
                <c:pt idx="51">
                  <c:v>Coppell</c:v>
                </c:pt>
                <c:pt idx="52">
                  <c:v>Dallas</c:v>
                </c:pt>
                <c:pt idx="53">
                  <c:v>Fort Worth</c:v>
                </c:pt>
                <c:pt idx="54">
                  <c:v>Houston</c:v>
                </c:pt>
                <c:pt idx="55">
                  <c:v>Ashland</c:v>
                </c:pt>
              </c:strCache>
            </c:strRef>
          </c:cat>
          <c:val>
            <c:numRef>
              <c:f>Shipping!$D$6:$D$61</c:f>
              <c:numCache>
                <c:formatCode>General</c:formatCode>
                <c:ptCount val="56"/>
                <c:pt idx="0">
                  <c:v>13</c:v>
                </c:pt>
                <c:pt idx="1">
                  <c:v>21</c:v>
                </c:pt>
                <c:pt idx="2">
                  <c:v>29</c:v>
                </c:pt>
                <c:pt idx="3">
                  <c:v>23</c:v>
                </c:pt>
                <c:pt idx="4">
                  <c:v>30</c:v>
                </c:pt>
                <c:pt idx="5">
                  <c:v>32</c:v>
                </c:pt>
                <c:pt idx="6">
                  <c:v>13</c:v>
                </c:pt>
                <c:pt idx="7">
                  <c:v>24</c:v>
                </c:pt>
                <c:pt idx="8">
                  <c:v>21</c:v>
                </c:pt>
                <c:pt idx="9">
                  <c:v>18</c:v>
                </c:pt>
                <c:pt idx="10">
                  <c:v>35</c:v>
                </c:pt>
                <c:pt idx="11">
                  <c:v>41</c:v>
                </c:pt>
                <c:pt idx="12">
                  <c:v>15</c:v>
                </c:pt>
                <c:pt idx="13">
                  <c:v>12</c:v>
                </c:pt>
                <c:pt idx="14">
                  <c:v>15</c:v>
                </c:pt>
                <c:pt idx="15">
                  <c:v>19</c:v>
                </c:pt>
                <c:pt idx="16">
                  <c:v>20</c:v>
                </c:pt>
                <c:pt idx="17">
                  <c:v>34</c:v>
                </c:pt>
                <c:pt idx="18">
                  <c:v>32</c:v>
                </c:pt>
                <c:pt idx="19">
                  <c:v>43</c:v>
                </c:pt>
                <c:pt idx="20">
                  <c:v>26</c:v>
                </c:pt>
                <c:pt idx="21">
                  <c:v>20</c:v>
                </c:pt>
                <c:pt idx="22">
                  <c:v>30</c:v>
                </c:pt>
                <c:pt idx="23">
                  <c:v>27</c:v>
                </c:pt>
                <c:pt idx="24">
                  <c:v>14</c:v>
                </c:pt>
                <c:pt idx="25">
                  <c:v>12</c:v>
                </c:pt>
                <c:pt idx="26">
                  <c:v>17</c:v>
                </c:pt>
                <c:pt idx="27">
                  <c:v>27</c:v>
                </c:pt>
                <c:pt idx="28">
                  <c:v>31</c:v>
                </c:pt>
                <c:pt idx="29">
                  <c:v>13</c:v>
                </c:pt>
                <c:pt idx="30">
                  <c:v>18</c:v>
                </c:pt>
                <c:pt idx="31">
                  <c:v>41</c:v>
                </c:pt>
                <c:pt idx="32">
                  <c:v>37</c:v>
                </c:pt>
                <c:pt idx="33">
                  <c:v>18</c:v>
                </c:pt>
                <c:pt idx="34">
                  <c:v>32</c:v>
                </c:pt>
                <c:pt idx="35">
                  <c:v>21</c:v>
                </c:pt>
                <c:pt idx="36">
                  <c:v>35</c:v>
                </c:pt>
                <c:pt idx="37">
                  <c:v>46</c:v>
                </c:pt>
                <c:pt idx="38">
                  <c:v>42</c:v>
                </c:pt>
                <c:pt idx="39">
                  <c:v>29</c:v>
                </c:pt>
                <c:pt idx="40">
                  <c:v>12</c:v>
                </c:pt>
                <c:pt idx="41">
                  <c:v>28</c:v>
                </c:pt>
                <c:pt idx="42">
                  <c:v>21</c:v>
                </c:pt>
                <c:pt idx="43">
                  <c:v>34</c:v>
                </c:pt>
                <c:pt idx="44">
                  <c:v>37</c:v>
                </c:pt>
                <c:pt idx="45">
                  <c:v>23</c:v>
                </c:pt>
                <c:pt idx="46">
                  <c:v>25</c:v>
                </c:pt>
                <c:pt idx="47">
                  <c:v>37</c:v>
                </c:pt>
                <c:pt idx="48">
                  <c:v>20</c:v>
                </c:pt>
                <c:pt idx="49">
                  <c:v>29</c:v>
                </c:pt>
                <c:pt idx="50">
                  <c:v>17</c:v>
                </c:pt>
                <c:pt idx="51">
                  <c:v>21</c:v>
                </c:pt>
                <c:pt idx="52">
                  <c:v>17</c:v>
                </c:pt>
                <c:pt idx="53">
                  <c:v>18</c:v>
                </c:pt>
                <c:pt idx="54">
                  <c:v>19</c:v>
                </c:pt>
                <c:pt idx="5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48-40AA-8A51-608D8B360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669519"/>
        <c:axId val="1244669039"/>
      </c:lineChart>
      <c:catAx>
        <c:axId val="124466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669039"/>
        <c:crosses val="autoZero"/>
        <c:auto val="1"/>
        <c:lblAlgn val="ctr"/>
        <c:lblOffset val="100"/>
        <c:noMultiLvlLbl val="0"/>
      </c:catAx>
      <c:valAx>
        <c:axId val="124466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669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</cx:chartData>
  <cx:chart>
    <cx:title pos="t" align="ctr" overlay="0"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Chart Title</a:t>
          </a:r>
        </a:p>
      </cx:txPr>
    </cx:title>
    <cx:plotArea>
      <cx:plotAreaRegion>
        <cx:series layoutId="clusteredColumn" uniqueId="{8F20D3BA-EF22-4727-BD9E-28CBD72E4D70}" formatIdx="0">
          <cx:tx>
            <cx:txData>
              <cx:f>_xlchart.v1.1</cx:f>
              <cx:v>shipped amount wh1</cx:v>
            </cx:txData>
          </cx:tx>
          <cx:dataId val="0"/>
          <cx:layoutPr>
            <cx:aggregation/>
          </cx:layoutPr>
          <cx:axisId val="1"/>
        </cx:series>
        <cx:series layoutId="paretoLine" ownerIdx="0" uniqueId="{EBF601BA-AE1F-4B9B-AADD-D8D869C673F5}" formatIdx="1">
          <cx:axisId val="2"/>
        </cx:series>
        <cx:series layoutId="clusteredColumn" hidden="1" uniqueId="{3E930F00-38FB-4A7D-8053-D2BFD3886A56}" formatIdx="2">
          <cx:tx>
            <cx:txData>
              <cx:f>_xlchart.v1.3</cx:f>
              <cx:v>shipped amount wh2</cx:v>
            </cx:txData>
          </cx:tx>
          <cx:dataId val="1"/>
          <cx:layoutPr>
            <cx:aggregation/>
          </cx:layoutPr>
          <cx:axisId val="1"/>
        </cx:series>
        <cx:series layoutId="paretoLine" ownerIdx="2" uniqueId="{96AA85BE-5E78-4DE8-BA1A-8B95D139FD05}" formatIdx="3">
          <cx:axisId val="2"/>
        </cx:series>
      </cx:plotAreaRegion>
      <cx:axis id="0">
        <cx:catScaling gapWidth="0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2">
        <cx:valScaling max="1" min="0"/>
        <cx:units unit="percentage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71437</xdr:rowOff>
    </xdr:from>
    <xdr:to>
      <xdr:col>9</xdr:col>
      <xdr:colOff>109538</xdr:colOff>
      <xdr:row>6</xdr:row>
      <xdr:rowOff>171450</xdr:rowOff>
    </xdr:to>
    <xdr:sp macro="[0]!ShowLogIn" textlink="">
      <xdr:nvSpPr>
        <xdr:cNvPr id="5" name="Rectangle 1">
          <a:extLst>
            <a:ext uri="{FF2B5EF4-FFF2-40B4-BE49-F238E27FC236}">
              <a16:creationId xmlns:a16="http://schemas.microsoft.com/office/drawing/2014/main" id="{DD6C83B0-BEF6-8576-4B7B-FFC0704060FC}"/>
            </a:ext>
          </a:extLst>
        </xdr:cNvPr>
        <xdr:cNvSpPr/>
      </xdr:nvSpPr>
      <xdr:spPr>
        <a:xfrm>
          <a:off x="4705350" y="271462"/>
          <a:ext cx="1576388" cy="110013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 kern="1200"/>
            <a:t>Manager Log-In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66675</xdr:colOff>
      <xdr:row>13</xdr:row>
      <xdr:rowOff>6483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BFEFFC3-D1D6-2138-C30A-AA8423AC0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81475" cy="2582043"/>
        </a:xfrm>
        <a:prstGeom prst="rect">
          <a:avLst/>
        </a:prstGeom>
      </xdr:spPr>
    </xdr:pic>
    <xdr:clientData/>
  </xdr:twoCellAnchor>
  <xdr:twoCellAnchor>
    <xdr:from>
      <xdr:col>6</xdr:col>
      <xdr:colOff>590550</xdr:colOff>
      <xdr:row>7</xdr:row>
      <xdr:rowOff>161925</xdr:rowOff>
    </xdr:from>
    <xdr:to>
      <xdr:col>9</xdr:col>
      <xdr:colOff>105728</xdr:colOff>
      <xdr:row>13</xdr:row>
      <xdr:rowOff>63818</xdr:rowOff>
    </xdr:to>
    <xdr:sp macro="[0]!EShowLogIn" textlink="">
      <xdr:nvSpPr>
        <xdr:cNvPr id="3" name="Rectangle 1">
          <a:extLst>
            <a:ext uri="{FF2B5EF4-FFF2-40B4-BE49-F238E27FC236}">
              <a16:creationId xmlns:a16="http://schemas.microsoft.com/office/drawing/2014/main" id="{B04B234A-5AD7-40E3-B3E6-3670CD394BEB}"/>
            </a:ext>
          </a:extLst>
        </xdr:cNvPr>
        <xdr:cNvSpPr/>
      </xdr:nvSpPr>
      <xdr:spPr>
        <a:xfrm>
          <a:off x="4705350" y="1562100"/>
          <a:ext cx="1572578" cy="1102043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 kern="1200"/>
            <a:t>Employee Log-In</a:t>
          </a:r>
        </a:p>
      </xdr:txBody>
    </xdr:sp>
    <xdr:clientData/>
  </xdr:twoCellAnchor>
  <xdr:twoCellAnchor>
    <xdr:from>
      <xdr:col>13</xdr:col>
      <xdr:colOff>62865</xdr:colOff>
      <xdr:row>0</xdr:row>
      <xdr:rowOff>160020</xdr:rowOff>
    </xdr:from>
    <xdr:to>
      <xdr:col>24</xdr:col>
      <xdr:colOff>672465</xdr:colOff>
      <xdr:row>19</xdr:row>
      <xdr:rowOff>123825</xdr:rowOff>
    </xdr:to>
    <xdr:sp macro="" textlink="">
      <xdr:nvSpPr>
        <xdr:cNvPr id="188" name="Rectangle 1">
          <a:extLst>
            <a:ext uri="{FF2B5EF4-FFF2-40B4-BE49-F238E27FC236}">
              <a16:creationId xmlns:a16="http://schemas.microsoft.com/office/drawing/2014/main" id="{5A10B4CD-3764-ACFB-B0E7-BCB721B4CFEC}"/>
            </a:ext>
          </a:extLst>
        </xdr:cNvPr>
        <xdr:cNvSpPr/>
      </xdr:nvSpPr>
      <xdr:spPr>
        <a:xfrm>
          <a:off x="8978265" y="160020"/>
          <a:ext cx="8153400" cy="376428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effectLst>
          <a:softEdge rad="3175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194309</xdr:colOff>
      <xdr:row>3</xdr:row>
      <xdr:rowOff>140970</xdr:rowOff>
    </xdr:from>
    <xdr:to>
      <xdr:col>23</xdr:col>
      <xdr:colOff>495300</xdr:colOff>
      <xdr:row>16</xdr:row>
      <xdr:rowOff>53340</xdr:rowOff>
    </xdr:to>
    <xdr:sp macro="" textlink="">
      <xdr:nvSpPr>
        <xdr:cNvPr id="202" name="TextBox 3">
          <a:extLst>
            <a:ext uri="{FF2B5EF4-FFF2-40B4-BE49-F238E27FC236}">
              <a16:creationId xmlns:a16="http://schemas.microsoft.com/office/drawing/2014/main" id="{945A8611-DC19-CCF3-F432-E10186855C06}"/>
            </a:ext>
          </a:extLst>
        </xdr:cNvPr>
        <xdr:cNvSpPr txBox="1"/>
      </xdr:nvSpPr>
      <xdr:spPr>
        <a:xfrm>
          <a:off x="9795509" y="741045"/>
          <a:ext cx="6473191" cy="25126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5400" kern="1200"/>
        </a:p>
        <a:p>
          <a:pPr algn="ctr"/>
          <a:r>
            <a:rPr lang="en-US" sz="5400" kern="1200"/>
            <a:t>Welcome </a:t>
          </a:r>
        </a:p>
      </xdr:txBody>
    </xdr:sp>
    <xdr:clientData/>
  </xdr:twoCellAnchor>
  <xdr:twoCellAnchor>
    <xdr:from>
      <xdr:col>0</xdr:col>
      <xdr:colOff>0</xdr:colOff>
      <xdr:row>15</xdr:row>
      <xdr:rowOff>45720</xdr:rowOff>
    </xdr:from>
    <xdr:to>
      <xdr:col>7</xdr:col>
      <xdr:colOff>76200</xdr:colOff>
      <xdr:row>29</xdr:row>
      <xdr:rowOff>93345</xdr:rowOff>
    </xdr:to>
    <xdr:sp macro="" textlink="">
      <xdr:nvSpPr>
        <xdr:cNvPr id="241" name="Rectangle 6">
          <a:extLst>
            <a:ext uri="{FF2B5EF4-FFF2-40B4-BE49-F238E27FC236}">
              <a16:creationId xmlns:a16="http://schemas.microsoft.com/office/drawing/2014/main" id="{DB9A19F7-3C49-C73E-2497-99487F07B8E8}"/>
            </a:ext>
          </a:extLst>
        </xdr:cNvPr>
        <xdr:cNvSpPr/>
      </xdr:nvSpPr>
      <xdr:spPr>
        <a:xfrm>
          <a:off x="0" y="3046095"/>
          <a:ext cx="4876800" cy="284797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/>
            <a:t>Instructions:</a:t>
          </a:r>
          <a:endParaRPr lang="en-US" sz="2400"/>
        </a:p>
        <a:p>
          <a:r>
            <a:rPr lang="en-US" sz="2400"/>
            <a:t>-Click "Manager Log-In" to access the manager interface.</a:t>
          </a:r>
        </a:p>
        <a:p>
          <a:r>
            <a:rPr lang="en-US" sz="2400"/>
            <a:t>-Click "Employee Log-In" to enter the employee dashboard.</a:t>
          </a:r>
        </a:p>
        <a:p>
          <a:r>
            <a:rPr lang="en-US" sz="2400"/>
            <a:t>-Use the Forecast and Shipping tabs to view results and run analyses.</a:t>
          </a:r>
        </a:p>
      </xdr:txBody>
    </xdr:sp>
    <xdr:clientData/>
  </xdr:twoCellAnchor>
  <xdr:twoCellAnchor>
    <xdr:from>
      <xdr:col>0</xdr:col>
      <xdr:colOff>0</xdr:colOff>
      <xdr:row>30</xdr:row>
      <xdr:rowOff>133351</xdr:rowOff>
    </xdr:from>
    <xdr:to>
      <xdr:col>6</xdr:col>
      <xdr:colOff>123825</xdr:colOff>
      <xdr:row>35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3A33C3E-3AEF-4F4D-8D06-34E08BC06AC2}"/>
            </a:ext>
          </a:extLst>
        </xdr:cNvPr>
        <xdr:cNvSpPr/>
      </xdr:nvSpPr>
      <xdr:spPr>
        <a:xfrm>
          <a:off x="0" y="6134101"/>
          <a:ext cx="4238625" cy="92392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/>
            <a:t>Created by: Anthony Bible</a:t>
          </a:r>
        </a:p>
        <a:p>
          <a:r>
            <a:rPr lang="en-US" sz="1600"/>
            <a:t>Version: v1.0 – Spring 2024</a:t>
          </a:r>
        </a:p>
        <a:p>
          <a:r>
            <a:rPr lang="en-US" sz="1600"/>
            <a:t>Course: BIT 3424 – Business Analytics Modeling</a:t>
          </a:r>
        </a:p>
        <a:p>
          <a:endParaRPr lang="en-US" sz="2400"/>
        </a:p>
      </xdr:txBody>
    </xdr:sp>
    <xdr:clientData/>
  </xdr:twoCellAnchor>
  <xdr:twoCellAnchor>
    <xdr:from>
      <xdr:col>9</xdr:col>
      <xdr:colOff>447675</xdr:colOff>
      <xdr:row>21</xdr:row>
      <xdr:rowOff>190500</xdr:rowOff>
    </xdr:from>
    <xdr:to>
      <xdr:col>20</xdr:col>
      <xdr:colOff>342900</xdr:colOff>
      <xdr:row>37</xdr:row>
      <xdr:rowOff>40005</xdr:rowOff>
    </xdr:to>
    <xdr:sp macro="" textlink="">
      <xdr:nvSpPr>
        <xdr:cNvPr id="8" name="Rectangle 6">
          <a:extLst>
            <a:ext uri="{FF2B5EF4-FFF2-40B4-BE49-F238E27FC236}">
              <a16:creationId xmlns:a16="http://schemas.microsoft.com/office/drawing/2014/main" id="{0FB19686-A64C-4F07-8922-E36F0E40DD8C}"/>
            </a:ext>
          </a:extLst>
        </xdr:cNvPr>
        <xdr:cNvSpPr/>
      </xdr:nvSpPr>
      <xdr:spPr>
        <a:xfrm>
          <a:off x="6619875" y="4391025"/>
          <a:ext cx="7439025" cy="304990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/>
            <a:t>Project Overview:</a:t>
          </a:r>
          <a:br>
            <a:rPr lang="en-US" sz="2400"/>
          </a:br>
          <a:r>
            <a:rPr lang="en-US" sz="2400"/>
            <a:t>This Decision Support System (DSS) was designed to assist Amazon logistics teams in forecasting demand and minimizing shipping costs.</a:t>
          </a:r>
          <a:br>
            <a:rPr lang="en-US" sz="2400"/>
          </a:br>
          <a:r>
            <a:rPr lang="en-US" sz="2400"/>
            <a:t>Built using Excel, Solver, VBA, and forecasting models, this tool enables dynamic decision-making for both managers and employees.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53340</xdr:rowOff>
        </xdr:from>
        <xdr:to>
          <xdr:col>6</xdr:col>
          <xdr:colOff>289560</xdr:colOff>
          <xdr:row>7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Back to Welcome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9525</xdr:rowOff>
    </xdr:from>
    <xdr:to>
      <xdr:col>16</xdr:col>
      <xdr:colOff>428625</xdr:colOff>
      <xdr:row>30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56EDC5-16B6-5F0A-8DED-464E15109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403383</xdr:colOff>
      <xdr:row>29</xdr:row>
      <xdr:rowOff>164306</xdr:rowOff>
    </xdr:from>
    <xdr:to>
      <xdr:col>9</xdr:col>
      <xdr:colOff>441007</xdr:colOff>
      <xdr:row>43</xdr:row>
      <xdr:rowOff>103346</xdr:rowOff>
    </xdr:to>
    <xdr:graphicFrame macro="">
      <xdr:nvGraphicFramePr>
        <xdr:cNvPr id="31" name="Chart 3">
          <a:extLst>
            <a:ext uri="{FF2B5EF4-FFF2-40B4-BE49-F238E27FC236}">
              <a16:creationId xmlns:a16="http://schemas.microsoft.com/office/drawing/2014/main" id="{38DB401A-B8C8-8B3A-0EFF-5AC93668003B}"/>
            </a:ext>
            <a:ext uri="{147F2762-F138-4A5C-976F-8EAC2B608ADB}">
              <a16:predDERef xmlns:a16="http://schemas.microsoft.com/office/drawing/2014/main" pred="{2756EDC5-16B6-5F0A-8DED-464E15109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396240</xdr:colOff>
          <xdr:row>9</xdr:row>
          <xdr:rowOff>167640</xdr:rowOff>
        </xdr:from>
        <xdr:to>
          <xdr:col>4</xdr:col>
          <xdr:colOff>952500</xdr:colOff>
          <xdr:row>13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Data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4</xdr:row>
          <xdr:rowOff>137160</xdr:rowOff>
        </xdr:from>
        <xdr:to>
          <xdr:col>4</xdr:col>
          <xdr:colOff>990600</xdr:colOff>
          <xdr:row>8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15</xdr:row>
          <xdr:rowOff>38100</xdr:rowOff>
        </xdr:from>
        <xdr:to>
          <xdr:col>4</xdr:col>
          <xdr:colOff>937260</xdr:colOff>
          <xdr:row>18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Back to Welcome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9525</xdr:rowOff>
    </xdr:from>
    <xdr:to>
      <xdr:col>16</xdr:col>
      <xdr:colOff>428625</xdr:colOff>
      <xdr:row>30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F11B7F-CC33-4DB7-B600-14BA17E61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784383</xdr:colOff>
      <xdr:row>29</xdr:row>
      <xdr:rowOff>176212</xdr:rowOff>
    </xdr:from>
    <xdr:to>
      <xdr:col>9</xdr:col>
      <xdr:colOff>822007</xdr:colOff>
      <xdr:row>43</xdr:row>
      <xdr:rowOff>115252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8A47FD7-2122-4E22-A49C-9EA56A2C67A9}"/>
            </a:ext>
            <a:ext uri="{147F2762-F138-4A5C-976F-8EAC2B608ADB}">
              <a16:predDERef xmlns:a16="http://schemas.microsoft.com/office/drawing/2014/main" pred="{2756EDC5-16B6-5F0A-8DED-464E15109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4</xdr:row>
          <xdr:rowOff>137160</xdr:rowOff>
        </xdr:from>
        <xdr:to>
          <xdr:col>4</xdr:col>
          <xdr:colOff>990600</xdr:colOff>
          <xdr:row>8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9</xdr:row>
          <xdr:rowOff>137160</xdr:rowOff>
        </xdr:from>
        <xdr:to>
          <xdr:col>4</xdr:col>
          <xdr:colOff>1120140</xdr:colOff>
          <xdr:row>13</xdr:row>
          <xdr:rowOff>167640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Back to Welcome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31053</xdr:colOff>
      <xdr:row>4</xdr:row>
      <xdr:rowOff>220859</xdr:rowOff>
    </xdr:from>
    <xdr:to>
      <xdr:col>14</xdr:col>
      <xdr:colOff>0</xdr:colOff>
      <xdr:row>7</xdr:row>
      <xdr:rowOff>171836</xdr:rowOff>
    </xdr:to>
    <xdr:sp macro="[0]!SolveShipping" textlink="">
      <xdr:nvSpPr>
        <xdr:cNvPr id="4" name="Rectangle 1">
          <a:extLst>
            <a:ext uri="{FF2B5EF4-FFF2-40B4-BE49-F238E27FC236}">
              <a16:creationId xmlns:a16="http://schemas.microsoft.com/office/drawing/2014/main" id="{D30DBDB7-E50A-A9F0-BA84-0B5263D5080C}"/>
            </a:ext>
          </a:extLst>
        </xdr:cNvPr>
        <xdr:cNvSpPr/>
      </xdr:nvSpPr>
      <xdr:spPr>
        <a:xfrm>
          <a:off x="11273236" y="1025789"/>
          <a:ext cx="3839318" cy="661998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kern="1200"/>
            <a:t>Optimize Shipping</a:t>
          </a:r>
        </a:p>
      </xdr:txBody>
    </xdr:sp>
    <xdr:clientData/>
  </xdr:twoCellAnchor>
  <xdr:twoCellAnchor>
    <xdr:from>
      <xdr:col>0</xdr:col>
      <xdr:colOff>73785</xdr:colOff>
      <xdr:row>0</xdr:row>
      <xdr:rowOff>140862</xdr:rowOff>
    </xdr:from>
    <xdr:to>
      <xdr:col>2</xdr:col>
      <xdr:colOff>389049</xdr:colOff>
      <xdr:row>3</xdr:row>
      <xdr:rowOff>93909</xdr:rowOff>
    </xdr:to>
    <xdr:sp macro="[0]!BackToWelcome" textlink="">
      <xdr:nvSpPr>
        <xdr:cNvPr id="3" name="Rectangle 1">
          <a:extLst>
            <a:ext uri="{FF2B5EF4-FFF2-40B4-BE49-F238E27FC236}">
              <a16:creationId xmlns:a16="http://schemas.microsoft.com/office/drawing/2014/main" id="{273F6C39-201C-42D4-8BF2-0ED5A18C101B}"/>
            </a:ext>
          </a:extLst>
        </xdr:cNvPr>
        <xdr:cNvSpPr/>
      </xdr:nvSpPr>
      <xdr:spPr>
        <a:xfrm>
          <a:off x="73785" y="140862"/>
          <a:ext cx="3045318" cy="556744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kern="1200"/>
            <a:t>Back to Welcome</a:t>
          </a:r>
        </a:p>
      </xdr:txBody>
    </xdr:sp>
    <xdr:clientData/>
  </xdr:twoCellAnchor>
  <xdr:twoCellAnchor>
    <xdr:from>
      <xdr:col>9</xdr:col>
      <xdr:colOff>544669</xdr:colOff>
      <xdr:row>13</xdr:row>
      <xdr:rowOff>83980</xdr:rowOff>
    </xdr:from>
    <xdr:to>
      <xdr:col>15</xdr:col>
      <xdr:colOff>496372</xdr:colOff>
      <xdr:row>29</xdr:row>
      <xdr:rowOff>100616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F54CDB2-A085-5A7C-B82B-2081AD9139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122081</xdr:colOff>
      <xdr:row>30</xdr:row>
      <xdr:rowOff>80493</xdr:rowOff>
    </xdr:from>
    <xdr:to>
      <xdr:col>15</xdr:col>
      <xdr:colOff>570158</xdr:colOff>
      <xdr:row>45</xdr:row>
      <xdr:rowOff>16633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EB6603-9F58-2B3B-F452-24077141D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7FE847-105C-48EC-B65F-C99CEFFC0565}">
  <we:reference id="wa104100404" version="3.0.0.1" store="en-US" storeType="omex"/>
  <we:alternateReferences>
    <we:reference id="wa104100404" version="3.0.0.1" store="en-US" storeType="omex"/>
  </we:alternateReferences>
  <we:properties>
    <we:property name="UniqueID" value="&quot;20241041730770162070&quot;"/>
    <we:property name="KyRc" value="&quot;&quot;"/>
  </we:properties>
  <we:bindings>
    <we:binding id="refEdit" type="matrix" appref="{CB71E0BF-F08A-442F-A47E-9A1A47CC810C}"/>
    <we:binding id="Worker" type="matrix" appref="{4DF277AC-2842-448B-9B5B-A1528FD99618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155C-E7BB-4FFD-90B1-C9B2CCC73949}">
  <sheetPr codeName="Sheet2"/>
  <dimension ref="K2:L13"/>
  <sheetViews>
    <sheetView tabSelected="1" topLeftCell="B1" zoomScale="80" zoomScaleNormal="80" workbookViewId="0">
      <selection activeCell="I15" sqref="I15"/>
    </sheetView>
  </sheetViews>
  <sheetFormatPr defaultColWidth="9" defaultRowHeight="15.6"/>
  <cols>
    <col min="1" max="10" width="9" style="28"/>
    <col min="11" max="11" width="14.75" style="28" customWidth="1"/>
    <col min="12" max="12" width="11.5" style="28" customWidth="1"/>
    <col min="13" max="16384" width="9" style="28"/>
  </cols>
  <sheetData>
    <row r="2" spans="11:12">
      <c r="K2" t="s">
        <v>0</v>
      </c>
      <c r="L2"/>
    </row>
    <row r="3" spans="11:12">
      <c r="K3" t="s">
        <v>1</v>
      </c>
      <c r="L3" s="15" t="s">
        <v>2</v>
      </c>
    </row>
    <row r="4" spans="11:12">
      <c r="K4" t="s">
        <v>3</v>
      </c>
      <c r="L4" s="15">
        <v>12345</v>
      </c>
    </row>
    <row r="5" spans="11:12">
      <c r="K5" t="s">
        <v>4</v>
      </c>
      <c r="L5" s="15">
        <v>12345</v>
      </c>
    </row>
    <row r="6" spans="11:12">
      <c r="K6" t="s">
        <v>5</v>
      </c>
      <c r="L6" s="15">
        <v>12345</v>
      </c>
    </row>
    <row r="7" spans="11:12">
      <c r="K7"/>
      <c r="L7" s="15"/>
    </row>
    <row r="8" spans="11:12">
      <c r="K8"/>
      <c r="L8"/>
    </row>
    <row r="9" spans="11:12">
      <c r="K9" t="s">
        <v>6</v>
      </c>
      <c r="L9"/>
    </row>
    <row r="10" spans="11:12">
      <c r="K10" t="s">
        <v>1</v>
      </c>
      <c r="L10" t="s">
        <v>2</v>
      </c>
    </row>
    <row r="11" spans="11:12">
      <c r="K11" t="s">
        <v>7</v>
      </c>
      <c r="L11">
        <v>54321</v>
      </c>
    </row>
    <row r="12" spans="11:12">
      <c r="K12" t="s">
        <v>8</v>
      </c>
      <c r="L12">
        <v>54321</v>
      </c>
    </row>
    <row r="13" spans="11:12">
      <c r="K13" t="s">
        <v>9</v>
      </c>
      <c r="L13">
        <v>54321</v>
      </c>
    </row>
  </sheetData>
  <pageMargins left="0.7" right="0.7" top="0.75" bottom="0.75" header="0.3" footer="0.3"/>
  <drawing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CB71E0BF-F08A-442F-A47E-9A1A47CC810C}">
          <xm:f>#REF!</xm:f>
        </x15:webExtension>
        <x15:webExtension appRef="{4DF277AC-2842-448B-9B5B-A1528FD99618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43-57EE-4D70-9AE9-850B8D75181C}">
  <sheetPr codeName="Sheet3"/>
  <dimension ref="A1:B12"/>
  <sheetViews>
    <sheetView workbookViewId="0">
      <selection sqref="A1:B12"/>
    </sheetView>
  </sheetViews>
  <sheetFormatPr defaultColWidth="8.75" defaultRowHeight="15.6"/>
  <cols>
    <col min="1" max="1" width="18" customWidth="1"/>
    <col min="2" max="2" width="13.25" customWidth="1"/>
  </cols>
  <sheetData>
    <row r="1" spans="1:2">
      <c r="A1" t="s">
        <v>0</v>
      </c>
    </row>
    <row r="2" spans="1:2">
      <c r="A2" t="s">
        <v>1</v>
      </c>
      <c r="B2" s="15" t="s">
        <v>2</v>
      </c>
    </row>
    <row r="3" spans="1:2">
      <c r="A3" t="s">
        <v>3</v>
      </c>
      <c r="B3" s="15">
        <v>12345</v>
      </c>
    </row>
    <row r="4" spans="1:2">
      <c r="A4" t="s">
        <v>4</v>
      </c>
      <c r="B4" s="15">
        <v>12345</v>
      </c>
    </row>
    <row r="5" spans="1:2">
      <c r="A5" t="s">
        <v>5</v>
      </c>
      <c r="B5" s="15">
        <v>12345</v>
      </c>
    </row>
    <row r="6" spans="1:2">
      <c r="B6" s="15"/>
    </row>
    <row r="8" spans="1:2">
      <c r="A8" t="s">
        <v>6</v>
      </c>
    </row>
    <row r="9" spans="1:2">
      <c r="A9" t="s">
        <v>1</v>
      </c>
      <c r="B9" t="s">
        <v>2</v>
      </c>
    </row>
    <row r="10" spans="1:2">
      <c r="A10" t="s">
        <v>7</v>
      </c>
      <c r="B10">
        <v>54321</v>
      </c>
    </row>
    <row r="11" spans="1:2">
      <c r="A11" t="s">
        <v>8</v>
      </c>
      <c r="B11">
        <v>54321</v>
      </c>
    </row>
    <row r="12" spans="1:2">
      <c r="A12" t="s">
        <v>9</v>
      </c>
      <c r="B12">
        <v>54321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BackToWelcome">
                <anchor moveWithCells="1" sizeWithCells="1">
                  <from>
                    <xdr:col>3</xdr:col>
                    <xdr:colOff>647700</xdr:colOff>
                    <xdr:row>3</xdr:row>
                    <xdr:rowOff>53340</xdr:rowOff>
                  </from>
                  <to>
                    <xdr:col>6</xdr:col>
                    <xdr:colOff>289560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D2E82-877C-0644-9BA1-677A07E0D75E}">
  <sheetPr codeName="Sheet4"/>
  <dimension ref="A2:O123"/>
  <sheetViews>
    <sheetView topLeftCell="A4" zoomScale="80" zoomScaleNormal="80" workbookViewId="0">
      <selection activeCell="D32" sqref="D32"/>
    </sheetView>
  </sheetViews>
  <sheetFormatPr defaultColWidth="11" defaultRowHeight="15.6"/>
  <cols>
    <col min="1" max="2" width="15.75" customWidth="1"/>
    <col min="3" max="3" width="16.75" customWidth="1"/>
    <col min="4" max="4" width="13.75" customWidth="1"/>
    <col min="5" max="5" width="17.25" customWidth="1"/>
    <col min="6" max="6" width="15.25" customWidth="1"/>
    <col min="7" max="7" width="17.75" customWidth="1"/>
    <col min="8" max="8" width="21.25" customWidth="1"/>
    <col min="10" max="10" width="14.25" customWidth="1"/>
    <col min="11" max="11" width="17.75" customWidth="1"/>
  </cols>
  <sheetData>
    <row r="2" spans="1:15" ht="18">
      <c r="B2" s="1" t="s">
        <v>10</v>
      </c>
      <c r="C2" s="1"/>
      <c r="D2" s="1"/>
      <c r="E2" s="1"/>
      <c r="F2" s="1"/>
      <c r="G2" s="1"/>
      <c r="H2" s="1"/>
      <c r="K2" s="1" t="s">
        <v>11</v>
      </c>
      <c r="L2" s="2"/>
      <c r="M2" s="2"/>
      <c r="N2" s="2"/>
      <c r="O2" s="2"/>
    </row>
    <row r="3" spans="1:15" ht="16.149999999999999" thickBot="1">
      <c r="K3" s="3" t="s">
        <v>12</v>
      </c>
      <c r="L3" s="4"/>
      <c r="M3" s="5"/>
      <c r="N3" s="3" t="s">
        <v>13</v>
      </c>
      <c r="O3" s="4"/>
    </row>
    <row r="4" spans="1:15" ht="21.6" thickBot="1">
      <c r="A4" s="64" t="s">
        <v>14</v>
      </c>
      <c r="B4" s="64"/>
      <c r="C4" s="64"/>
      <c r="K4" s="6" t="s">
        <v>15</v>
      </c>
      <c r="L4" s="6"/>
      <c r="M4" s="5"/>
      <c r="N4" s="19" t="s">
        <v>16</v>
      </c>
      <c r="O4" s="19" t="s">
        <v>17</v>
      </c>
    </row>
    <row r="5" spans="1:15">
      <c r="A5" s="17" t="s">
        <v>18</v>
      </c>
      <c r="B5" s="17" t="s">
        <v>19</v>
      </c>
      <c r="C5" s="17" t="s">
        <v>20</v>
      </c>
      <c r="F5" s="3"/>
      <c r="G5" s="4" t="s">
        <v>21</v>
      </c>
      <c r="H5" s="3"/>
      <c r="K5" s="20" t="s">
        <v>22</v>
      </c>
      <c r="L5" s="20"/>
      <c r="N5">
        <v>10</v>
      </c>
      <c r="O5">
        <v>0</v>
      </c>
    </row>
    <row r="6" spans="1:15">
      <c r="A6" s="18" t="s">
        <v>23</v>
      </c>
      <c r="B6" s="21">
        <v>677</v>
      </c>
      <c r="C6" s="16">
        <v>48</v>
      </c>
      <c r="G6" s="8" t="s">
        <v>24</v>
      </c>
      <c r="H6" s="9">
        <f>AVERAGE(C6:C57)</f>
        <v>27.673076923076923</v>
      </c>
      <c r="N6">
        <v>15</v>
      </c>
      <c r="O6">
        <v>5</v>
      </c>
    </row>
    <row r="7" spans="1:15">
      <c r="A7" s="18" t="s">
        <v>25</v>
      </c>
      <c r="B7" s="21">
        <v>694</v>
      </c>
      <c r="C7" s="16">
        <v>37</v>
      </c>
      <c r="G7" s="8" t="s">
        <v>26</v>
      </c>
      <c r="H7" s="10">
        <f>_xlfn.STDEV.S(C6:C57)</f>
        <v>10.85144095219915</v>
      </c>
      <c r="K7" t="s">
        <v>24</v>
      </c>
      <c r="L7">
        <v>27.21153846153846</v>
      </c>
      <c r="N7">
        <v>20</v>
      </c>
      <c r="O7">
        <v>13</v>
      </c>
    </row>
    <row r="8" spans="1:15">
      <c r="A8" s="18" t="s">
        <v>27</v>
      </c>
      <c r="B8" s="21">
        <v>670</v>
      </c>
      <c r="C8" s="16">
        <v>16</v>
      </c>
      <c r="G8" s="8" t="s">
        <v>28</v>
      </c>
      <c r="H8" s="10">
        <f>MEDIAN(C6:C57)</f>
        <v>25.5</v>
      </c>
      <c r="K8" t="s">
        <v>29</v>
      </c>
      <c r="L8">
        <v>1.4586654106192096</v>
      </c>
      <c r="N8">
        <v>25</v>
      </c>
      <c r="O8">
        <v>9</v>
      </c>
    </row>
    <row r="9" spans="1:15">
      <c r="A9" s="18" t="s">
        <v>30</v>
      </c>
      <c r="B9" s="21">
        <v>688</v>
      </c>
      <c r="C9" s="16">
        <v>18</v>
      </c>
      <c r="G9" s="8" t="s">
        <v>31</v>
      </c>
      <c r="H9" s="10">
        <f>MODE(C6:C57)</f>
        <v>16</v>
      </c>
      <c r="K9" t="s">
        <v>28</v>
      </c>
      <c r="L9">
        <v>25</v>
      </c>
      <c r="N9">
        <v>30</v>
      </c>
      <c r="O9">
        <v>7</v>
      </c>
    </row>
    <row r="10" spans="1:15">
      <c r="A10" s="18" t="s">
        <v>32</v>
      </c>
      <c r="B10" s="21">
        <v>696</v>
      </c>
      <c r="C10" s="16">
        <v>17</v>
      </c>
      <c r="K10" t="s">
        <v>31</v>
      </c>
      <c r="L10">
        <v>16</v>
      </c>
      <c r="N10">
        <v>35</v>
      </c>
      <c r="O10">
        <v>6</v>
      </c>
    </row>
    <row r="11" spans="1:15" ht="16.149999999999999" thickBot="1">
      <c r="A11" s="18" t="s">
        <v>33</v>
      </c>
      <c r="B11" s="21">
        <v>706</v>
      </c>
      <c r="C11" s="16">
        <v>20</v>
      </c>
      <c r="F11" s="3"/>
      <c r="G11" s="4" t="s">
        <v>34</v>
      </c>
      <c r="H11" s="3"/>
      <c r="K11" t="s">
        <v>26</v>
      </c>
      <c r="L11">
        <v>10.518585863466589</v>
      </c>
      <c r="N11" s="11" t="s">
        <v>35</v>
      </c>
      <c r="O11" s="11">
        <v>12</v>
      </c>
    </row>
    <row r="12" spans="1:15">
      <c r="A12" s="18" t="s">
        <v>36</v>
      </c>
      <c r="B12" s="21">
        <v>695</v>
      </c>
      <c r="C12" s="16">
        <v>23</v>
      </c>
      <c r="G12" s="8" t="s">
        <v>37</v>
      </c>
      <c r="H12" s="10">
        <f>_xlfn.PERCENTILE.INC(C6:C57,0.5)</f>
        <v>25.5</v>
      </c>
      <c r="K12" t="s">
        <v>38</v>
      </c>
      <c r="L12">
        <v>110.64064856711917</v>
      </c>
    </row>
    <row r="13" spans="1:15">
      <c r="A13" s="18" t="s">
        <v>39</v>
      </c>
      <c r="B13" s="21">
        <v>703</v>
      </c>
      <c r="C13" s="16">
        <v>19</v>
      </c>
      <c r="G13" s="8" t="s">
        <v>40</v>
      </c>
      <c r="H13" s="10">
        <f>_xlfn.PERCENTILE.EXC(C6:C57,0.9)</f>
        <v>45.7</v>
      </c>
      <c r="K13" t="s">
        <v>41</v>
      </c>
      <c r="L13">
        <v>-0.88315629621381886</v>
      </c>
    </row>
    <row r="14" spans="1:15">
      <c r="A14" s="18" t="s">
        <v>42</v>
      </c>
      <c r="B14" s="21">
        <v>692</v>
      </c>
      <c r="C14" s="16">
        <v>23</v>
      </c>
      <c r="G14" s="8"/>
      <c r="K14" t="s">
        <v>43</v>
      </c>
      <c r="L14">
        <v>0.45206797299276424</v>
      </c>
    </row>
    <row r="15" spans="1:15">
      <c r="A15" s="18" t="s">
        <v>44</v>
      </c>
      <c r="B15" s="21">
        <v>682</v>
      </c>
      <c r="C15" s="16">
        <v>27</v>
      </c>
      <c r="F15" s="3"/>
      <c r="G15" s="4" t="s">
        <v>45</v>
      </c>
      <c r="H15" s="3"/>
      <c r="K15" t="s">
        <v>46</v>
      </c>
      <c r="L15">
        <v>36</v>
      </c>
    </row>
    <row r="16" spans="1:15">
      <c r="A16" s="18" t="s">
        <v>47</v>
      </c>
      <c r="B16" s="21">
        <v>675</v>
      </c>
      <c r="C16" s="16">
        <v>16</v>
      </c>
      <c r="G16" s="8" t="s">
        <v>48</v>
      </c>
      <c r="H16" s="12">
        <f>_xlfn.PERCENTRANK.INC(C6:C57,19)</f>
        <v>0.27400000000000002</v>
      </c>
      <c r="K16" t="s">
        <v>49</v>
      </c>
      <c r="L16">
        <v>12</v>
      </c>
    </row>
    <row r="17" spans="1:12">
      <c r="A17" s="18" t="s">
        <v>50</v>
      </c>
      <c r="B17" s="21">
        <v>693</v>
      </c>
      <c r="C17" s="16">
        <v>23</v>
      </c>
      <c r="G17" s="8" t="s">
        <v>51</v>
      </c>
      <c r="H17" s="12">
        <f>1-_xlfn.PERCENTRANK.INC(C6:C57,19)</f>
        <v>0.72599999999999998</v>
      </c>
      <c r="K17" t="s">
        <v>52</v>
      </c>
      <c r="L17">
        <v>48</v>
      </c>
    </row>
    <row r="18" spans="1:12">
      <c r="A18" s="18" t="s">
        <v>53</v>
      </c>
      <c r="B18" s="21">
        <v>699</v>
      </c>
      <c r="C18" s="16">
        <v>18</v>
      </c>
      <c r="G18" s="8" t="s">
        <v>54</v>
      </c>
      <c r="H18" s="12">
        <f>_xlfn.PERCENTRANK.EXC(C6:C57,31.9)</f>
        <v>0.63400000000000001</v>
      </c>
      <c r="K18" t="s">
        <v>55</v>
      </c>
      <c r="L18">
        <v>1415</v>
      </c>
    </row>
    <row r="19" spans="1:12" ht="16.149999999999999" thickBot="1">
      <c r="A19" s="18" t="s">
        <v>56</v>
      </c>
      <c r="B19" s="21">
        <v>703</v>
      </c>
      <c r="C19" s="16">
        <v>34</v>
      </c>
      <c r="G19" s="8" t="s">
        <v>57</v>
      </c>
      <c r="H19" s="12">
        <f>1-_xlfn.PERCENTRANK.EXC(C6:C57,31.9)</f>
        <v>0.36599999999999999</v>
      </c>
      <c r="K19" s="11" t="s">
        <v>58</v>
      </c>
      <c r="L19" s="11">
        <v>52</v>
      </c>
    </row>
    <row r="20" spans="1:12">
      <c r="A20" s="18" t="s">
        <v>59</v>
      </c>
      <c r="B20" s="21">
        <v>686</v>
      </c>
      <c r="C20" s="16">
        <v>35</v>
      </c>
    </row>
    <row r="21" spans="1:12">
      <c r="A21" s="18" t="s">
        <v>60</v>
      </c>
      <c r="B21" s="21">
        <v>678</v>
      </c>
      <c r="C21" s="16">
        <v>36</v>
      </c>
      <c r="F21" s="4" t="s">
        <v>61</v>
      </c>
      <c r="G21" s="4" t="s">
        <v>62</v>
      </c>
      <c r="H21" s="4" t="s">
        <v>17</v>
      </c>
    </row>
    <row r="22" spans="1:12">
      <c r="A22" s="18" t="s">
        <v>63</v>
      </c>
      <c r="B22" s="21">
        <v>671</v>
      </c>
      <c r="C22" s="16">
        <v>30</v>
      </c>
      <c r="F22">
        <v>0</v>
      </c>
      <c r="G22">
        <v>10</v>
      </c>
      <c r="H22" s="10">
        <f>COUNTIF(C6:C57,"&lt;="&amp;G22)</f>
        <v>0</v>
      </c>
    </row>
    <row r="23" spans="1:12">
      <c r="A23" s="18" t="s">
        <v>64</v>
      </c>
      <c r="B23" s="21">
        <v>688</v>
      </c>
      <c r="C23" s="16">
        <v>25</v>
      </c>
      <c r="F23">
        <v>11</v>
      </c>
      <c r="G23">
        <v>15</v>
      </c>
      <c r="H23" s="10">
        <f>COUNTIFS(C6:C57,"&gt;="&amp;F23,C6:C57,"&lt;="&amp;G23)</f>
        <v>5</v>
      </c>
    </row>
    <row r="24" spans="1:12">
      <c r="A24" s="18" t="s">
        <v>65</v>
      </c>
      <c r="B24" s="21">
        <v>705</v>
      </c>
      <c r="C24" s="16">
        <v>26</v>
      </c>
      <c r="F24">
        <v>16</v>
      </c>
      <c r="G24">
        <v>20</v>
      </c>
      <c r="H24" s="10">
        <f>COUNTIFS(C6:C57,"&gt;="&amp;F24,C6:C57,"&lt;="&amp;G24)</f>
        <v>13</v>
      </c>
    </row>
    <row r="25" spans="1:12">
      <c r="A25" s="18" t="s">
        <v>66</v>
      </c>
      <c r="B25" s="21">
        <v>705</v>
      </c>
      <c r="C25" s="16">
        <v>35</v>
      </c>
      <c r="F25">
        <v>21</v>
      </c>
      <c r="G25">
        <v>25</v>
      </c>
      <c r="H25" s="10">
        <f>COUNTIFS(C6:C57,"&gt;="&amp;F25,C6:C57,"&lt;="&amp;G25)</f>
        <v>8</v>
      </c>
    </row>
    <row r="26" spans="1:12">
      <c r="A26" s="18" t="s">
        <v>67</v>
      </c>
      <c r="B26" s="21">
        <v>673</v>
      </c>
      <c r="C26" s="16">
        <v>30</v>
      </c>
      <c r="F26">
        <v>26</v>
      </c>
      <c r="G26">
        <v>30</v>
      </c>
      <c r="H26" s="10">
        <f>COUNTIFS(C7:C58,"&gt;="&amp;F26,C7:C58,"&lt;="&amp;G26)</f>
        <v>7</v>
      </c>
    </row>
    <row r="27" spans="1:12">
      <c r="A27" s="18" t="s">
        <v>68</v>
      </c>
      <c r="B27" s="21">
        <v>681</v>
      </c>
      <c r="C27" s="16">
        <v>12</v>
      </c>
      <c r="F27">
        <v>31</v>
      </c>
      <c r="G27" s="8">
        <v>35</v>
      </c>
      <c r="H27" s="10">
        <f>COUNTIFS(C8:C59,"&gt;="&amp;F27,C8:C59,"&lt;="&amp;G27)</f>
        <v>6</v>
      </c>
    </row>
    <row r="28" spans="1:12">
      <c r="A28" s="18" t="s">
        <v>69</v>
      </c>
      <c r="B28" s="21">
        <v>674</v>
      </c>
      <c r="C28" s="16">
        <v>33</v>
      </c>
    </row>
    <row r="29" spans="1:12">
      <c r="A29" s="18" t="s">
        <v>70</v>
      </c>
      <c r="B29" s="21">
        <v>675</v>
      </c>
      <c r="C29" s="16">
        <v>44</v>
      </c>
    </row>
    <row r="30" spans="1:12">
      <c r="A30" s="18" t="s">
        <v>71</v>
      </c>
      <c r="B30" s="21">
        <v>683</v>
      </c>
      <c r="C30" s="16">
        <v>24</v>
      </c>
    </row>
    <row r="31" spans="1:12">
      <c r="A31" s="18" t="s">
        <v>72</v>
      </c>
      <c r="B31" s="21">
        <v>689</v>
      </c>
      <c r="C31" s="16">
        <v>25</v>
      </c>
    </row>
    <row r="32" spans="1:12">
      <c r="A32" s="18" t="s">
        <v>73</v>
      </c>
      <c r="B32" s="21">
        <v>707</v>
      </c>
      <c r="C32" s="16">
        <v>46</v>
      </c>
    </row>
    <row r="33" spans="1:3">
      <c r="A33" s="18" t="s">
        <v>74</v>
      </c>
      <c r="B33" s="21">
        <v>707</v>
      </c>
      <c r="C33" s="16">
        <v>33</v>
      </c>
    </row>
    <row r="34" spans="1:3">
      <c r="A34" s="18" t="s">
        <v>75</v>
      </c>
      <c r="B34" s="21">
        <v>693</v>
      </c>
      <c r="C34" s="16">
        <v>38</v>
      </c>
    </row>
    <row r="35" spans="1:3">
      <c r="A35" s="18" t="s">
        <v>76</v>
      </c>
      <c r="B35" s="21">
        <v>677</v>
      </c>
      <c r="C35" s="16">
        <v>48</v>
      </c>
    </row>
    <row r="36" spans="1:3">
      <c r="A36" s="18" t="s">
        <v>77</v>
      </c>
      <c r="B36" s="21">
        <v>687</v>
      </c>
      <c r="C36" s="16">
        <v>40</v>
      </c>
    </row>
    <row r="37" spans="1:3">
      <c r="A37" s="18" t="s">
        <v>78</v>
      </c>
      <c r="B37" s="21">
        <v>687</v>
      </c>
      <c r="C37" s="16">
        <v>22</v>
      </c>
    </row>
    <row r="38" spans="1:3">
      <c r="A38" s="18" t="s">
        <v>79</v>
      </c>
      <c r="B38" s="21">
        <v>686</v>
      </c>
      <c r="C38" s="16">
        <v>15</v>
      </c>
    </row>
    <row r="39" spans="1:3">
      <c r="A39" s="18" t="s">
        <v>80</v>
      </c>
      <c r="B39" s="21">
        <v>696</v>
      </c>
      <c r="C39" s="16">
        <v>22</v>
      </c>
    </row>
    <row r="40" spans="1:3">
      <c r="A40" s="18" t="s">
        <v>81</v>
      </c>
      <c r="B40" s="21">
        <v>703</v>
      </c>
      <c r="C40" s="16">
        <v>16</v>
      </c>
    </row>
    <row r="41" spans="1:3">
      <c r="A41" s="18" t="s">
        <v>82</v>
      </c>
      <c r="B41" s="21">
        <v>670</v>
      </c>
      <c r="C41" s="16">
        <v>19</v>
      </c>
    </row>
    <row r="42" spans="1:3">
      <c r="A42" s="18" t="s">
        <v>83</v>
      </c>
      <c r="B42" s="21">
        <v>702</v>
      </c>
      <c r="C42" s="16">
        <v>13</v>
      </c>
    </row>
    <row r="43" spans="1:3">
      <c r="A43" s="18" t="s">
        <v>84</v>
      </c>
      <c r="B43" s="21">
        <v>705</v>
      </c>
      <c r="C43" s="16">
        <v>19</v>
      </c>
    </row>
    <row r="44" spans="1:3">
      <c r="A44" s="18" t="s">
        <v>85</v>
      </c>
      <c r="B44" s="21">
        <v>685</v>
      </c>
      <c r="C44" s="16">
        <v>16</v>
      </c>
    </row>
    <row r="45" spans="1:3">
      <c r="A45" s="18" t="s">
        <v>86</v>
      </c>
      <c r="B45" s="21">
        <v>670</v>
      </c>
      <c r="C45" s="16">
        <v>16</v>
      </c>
    </row>
    <row r="46" spans="1:3">
      <c r="A46" s="18" t="s">
        <v>87</v>
      </c>
      <c r="B46" s="21">
        <v>674</v>
      </c>
      <c r="C46" s="16">
        <v>13</v>
      </c>
    </row>
    <row r="47" spans="1:3">
      <c r="A47" s="18" t="s">
        <v>88</v>
      </c>
      <c r="B47" s="21">
        <v>705</v>
      </c>
      <c r="C47" s="16">
        <v>37</v>
      </c>
    </row>
    <row r="48" spans="1:3">
      <c r="A48" s="18" t="s">
        <v>89</v>
      </c>
      <c r="B48" s="21">
        <v>689</v>
      </c>
      <c r="C48" s="16">
        <v>33</v>
      </c>
    </row>
    <row r="49" spans="1:14">
      <c r="A49" s="18" t="s">
        <v>90</v>
      </c>
      <c r="B49" s="21">
        <v>674</v>
      </c>
      <c r="C49" s="16">
        <v>47</v>
      </c>
    </row>
    <row r="50" spans="1:14">
      <c r="A50" s="18" t="s">
        <v>91</v>
      </c>
      <c r="B50" s="21">
        <v>670</v>
      </c>
      <c r="C50" s="16">
        <v>41</v>
      </c>
    </row>
    <row r="51" spans="1:14">
      <c r="A51" s="18" t="s">
        <v>92</v>
      </c>
      <c r="B51" s="21">
        <v>706</v>
      </c>
      <c r="C51" s="16">
        <v>29</v>
      </c>
    </row>
    <row r="52" spans="1:14">
      <c r="A52" s="18" t="s">
        <v>93</v>
      </c>
      <c r="B52" s="21">
        <v>703</v>
      </c>
      <c r="C52" s="16">
        <v>13</v>
      </c>
    </row>
    <row r="53" spans="1:14">
      <c r="A53" s="18" t="s">
        <v>94</v>
      </c>
      <c r="B53" s="21">
        <v>694</v>
      </c>
      <c r="C53" s="16">
        <v>30</v>
      </c>
    </row>
    <row r="54" spans="1:14">
      <c r="A54" s="18" t="s">
        <v>95</v>
      </c>
      <c r="B54" s="21">
        <v>671</v>
      </c>
      <c r="C54" s="16">
        <v>45</v>
      </c>
    </row>
    <row r="55" spans="1:14">
      <c r="A55" s="18" t="s">
        <v>96</v>
      </c>
      <c r="B55" s="21">
        <v>696</v>
      </c>
      <c r="C55" s="16">
        <v>17</v>
      </c>
    </row>
    <row r="56" spans="1:14">
      <c r="A56" s="18" t="s">
        <v>97</v>
      </c>
      <c r="B56" s="21">
        <v>691</v>
      </c>
      <c r="C56" s="16">
        <v>30</v>
      </c>
    </row>
    <row r="57" spans="1:14">
      <c r="A57" s="18" t="s">
        <v>98</v>
      </c>
      <c r="B57" s="21">
        <v>677</v>
      </c>
      <c r="C57" s="16">
        <v>47</v>
      </c>
    </row>
    <row r="62" spans="1:14">
      <c r="A62" s="7" t="s">
        <v>18</v>
      </c>
      <c r="B62" s="7" t="s">
        <v>99</v>
      </c>
      <c r="C62" s="7" t="s">
        <v>100</v>
      </c>
      <c r="D62" s="13" t="s">
        <v>101</v>
      </c>
      <c r="E62" s="13" t="s">
        <v>102</v>
      </c>
      <c r="F62" s="13" t="s">
        <v>103</v>
      </c>
      <c r="G62" s="14" t="s">
        <v>104</v>
      </c>
      <c r="H62" s="14" t="s">
        <v>105</v>
      </c>
      <c r="I62" s="14" t="s">
        <v>106</v>
      </c>
      <c r="K62" s="22" t="s">
        <v>107</v>
      </c>
      <c r="L62" s="23" t="s">
        <v>108</v>
      </c>
      <c r="M62" s="23" t="s">
        <v>109</v>
      </c>
      <c r="N62" s="23" t="s">
        <v>110</v>
      </c>
    </row>
    <row r="63" spans="1:14">
      <c r="A63" s="15">
        <v>1</v>
      </c>
      <c r="B63" s="21">
        <f>B6</f>
        <v>677</v>
      </c>
      <c r="C63" s="16">
        <f>C6</f>
        <v>48</v>
      </c>
      <c r="D63" cm="1">
        <f t="array" ref="D63">ROUND(TREND($C$63:$C$114,$B$63:$B$114,B63),2)</f>
        <v>29.57</v>
      </c>
      <c r="E63" cm="1">
        <f t="array" ref="E63">GROWTH($C$63:$C$114,$B$63:$B$114,B63)</f>
        <v>26.97698508493518</v>
      </c>
      <c r="F63">
        <f t="shared" ref="F63:F94" si="0">$L$63*B63^2+$M$63*B63+$N$63</f>
        <v>29.388033543487836</v>
      </c>
      <c r="G63">
        <f>ABS(D63-$C63)</f>
        <v>18.43</v>
      </c>
      <c r="H63">
        <f>ABS(E63-$C63)</f>
        <v>21.02301491506482</v>
      </c>
      <c r="I63">
        <f>ABS(F63-$C63)</f>
        <v>18.611966456512164</v>
      </c>
      <c r="K63" s="24" t="s">
        <v>111</v>
      </c>
      <c r="L63" cm="1">
        <f t="array" ref="L63:N63">LINEST($C$63:$C$114,$B$63:$B$114^{1,2},TRUE,FALSE)</f>
        <v>9.264205972080438E-3</v>
      </c>
      <c r="M63">
        <v>-12.918120435138627</v>
      </c>
      <c r="N63">
        <v>4528.9013091546831</v>
      </c>
    </row>
    <row r="64" spans="1:14">
      <c r="A64" s="15">
        <v>2</v>
      </c>
      <c r="B64" s="21">
        <f>B7</f>
        <v>694</v>
      </c>
      <c r="C64" s="16">
        <f>C7</f>
        <v>37</v>
      </c>
      <c r="D64" cm="1">
        <f t="array" ref="D64">ROUND(TREND($C$63:$C$114,$B$63:$B$114,B64),2)</f>
        <v>26.79</v>
      </c>
      <c r="E64" cm="1">
        <f t="array" ref="E64">GROWTH($C$63:$C$114,$B$63:$B$114,B64)</f>
        <v>24.962947594999207</v>
      </c>
      <c r="F64">
        <f t="shared" si="0"/>
        <v>25.700834737408513</v>
      </c>
      <c r="G64">
        <f t="shared" ref="G64:G95" si="1">ABS(D64-C64)</f>
        <v>10.210000000000001</v>
      </c>
      <c r="H64">
        <f t="shared" ref="H64:H95" si="2">ABS(E64-$C64)</f>
        <v>12.037052405000793</v>
      </c>
      <c r="I64">
        <f t="shared" ref="I64:I95" si="3">ABS(F64-$C64)</f>
        <v>11.299165262591487</v>
      </c>
    </row>
    <row r="65" spans="1:9">
      <c r="A65" s="15">
        <v>3</v>
      </c>
      <c r="B65" s="21">
        <f t="shared" ref="B65:C114" si="4">B8</f>
        <v>670</v>
      </c>
      <c r="C65" s="16">
        <f t="shared" si="4"/>
        <v>16</v>
      </c>
      <c r="D65" cm="1">
        <f t="array" ref="D65">ROUND(TREND($C$63:$C$114,$B$63:$B$114,B65),2)</f>
        <v>30.71</v>
      </c>
      <c r="E65" cm="1">
        <f t="array" ref="E65">GROWTH($C$63:$C$114,$B$63:$B$114,B65)</f>
        <v>27.852800744131596</v>
      </c>
      <c r="F65">
        <f t="shared" si="0"/>
        <v>32.462678478712405</v>
      </c>
      <c r="G65">
        <f t="shared" si="1"/>
        <v>14.71</v>
      </c>
      <c r="H65">
        <f t="shared" si="2"/>
        <v>11.852800744131596</v>
      </c>
      <c r="I65">
        <f t="shared" si="3"/>
        <v>16.462678478712405</v>
      </c>
    </row>
    <row r="66" spans="1:9">
      <c r="A66" s="15">
        <v>4</v>
      </c>
      <c r="B66" s="21">
        <f t="shared" si="4"/>
        <v>688</v>
      </c>
      <c r="C66" s="16">
        <f t="shared" si="4"/>
        <v>18</v>
      </c>
      <c r="D66" cm="1">
        <f t="array" ref="D66">ROUND(TREND($C$63:$C$114,$B$63:$B$114,B66),2)</f>
        <v>27.77</v>
      </c>
      <c r="E66" cm="1">
        <f t="array" ref="E66">GROWTH($C$63:$C$114,$B$63:$B$114,B66)</f>
        <v>25.656010037296294</v>
      </c>
      <c r="F66">
        <f t="shared" si="0"/>
        <v>26.390761427751386</v>
      </c>
      <c r="G66">
        <f t="shared" si="1"/>
        <v>9.77</v>
      </c>
      <c r="H66">
        <f t="shared" si="2"/>
        <v>7.6560100372962943</v>
      </c>
      <c r="I66">
        <f t="shared" si="3"/>
        <v>8.3907614277513858</v>
      </c>
    </row>
    <row r="67" spans="1:9">
      <c r="A67" s="15">
        <v>5</v>
      </c>
      <c r="B67" s="21">
        <f t="shared" si="4"/>
        <v>696</v>
      </c>
      <c r="C67" s="16">
        <f t="shared" si="4"/>
        <v>17</v>
      </c>
      <c r="D67" cm="1">
        <f t="array" ref="D67">ROUND(TREND($C$63:$C$114,$B$63:$B$114,B67),2)</f>
        <v>26.46</v>
      </c>
      <c r="E67" cm="1">
        <f t="array" ref="E67">GROWTH($C$63:$C$114,$B$63:$B$114,B67)</f>
        <v>24.736112518357537</v>
      </c>
      <c r="F67">
        <f t="shared" si="0"/>
        <v>25.619086469516333</v>
      </c>
      <c r="G67">
        <f t="shared" si="1"/>
        <v>9.4600000000000009</v>
      </c>
      <c r="H67">
        <f t="shared" si="2"/>
        <v>7.7361125183575368</v>
      </c>
      <c r="I67">
        <f t="shared" si="3"/>
        <v>8.6190864695163327</v>
      </c>
    </row>
    <row r="68" spans="1:9">
      <c r="A68" s="15">
        <v>6</v>
      </c>
      <c r="B68" s="21">
        <f t="shared" si="4"/>
        <v>706</v>
      </c>
      <c r="C68" s="16">
        <f t="shared" si="4"/>
        <v>20</v>
      </c>
      <c r="D68" cm="1">
        <f t="array" ref="D68">ROUND(TREND($C$63:$C$114,$B$63:$B$114,B68),2)</f>
        <v>24.82</v>
      </c>
      <c r="E68" cm="1">
        <f t="array" ref="E68">GROWTH($C$63:$C$114,$B$63:$B$114,B68)</f>
        <v>23.632483392986366</v>
      </c>
      <c r="F68">
        <f t="shared" si="0"/>
        <v>26.322049846696245</v>
      </c>
      <c r="G68">
        <f t="shared" si="1"/>
        <v>4.82</v>
      </c>
      <c r="H68">
        <f t="shared" si="2"/>
        <v>3.6324833929863658</v>
      </c>
      <c r="I68">
        <f t="shared" si="3"/>
        <v>6.3220498466962454</v>
      </c>
    </row>
    <row r="69" spans="1:9">
      <c r="A69" s="15">
        <v>7</v>
      </c>
      <c r="B69" s="21">
        <f t="shared" si="4"/>
        <v>695</v>
      </c>
      <c r="C69" s="16">
        <f t="shared" si="4"/>
        <v>23</v>
      </c>
      <c r="D69" cm="1">
        <f t="array" ref="D69">ROUND(TREND($C$63:$C$114,$B$63:$B$114,B69),2)</f>
        <v>26.62</v>
      </c>
      <c r="E69" cm="1">
        <f t="array" ref="E69">GROWTH($C$63:$C$114,$B$63:$B$114,B69)</f>
        <v>24.849271226733457</v>
      </c>
      <c r="F69">
        <f t="shared" si="0"/>
        <v>25.650696397491629</v>
      </c>
      <c r="G69">
        <f t="shared" si="1"/>
        <v>3.620000000000001</v>
      </c>
      <c r="H69">
        <f t="shared" si="2"/>
        <v>1.8492712267334568</v>
      </c>
      <c r="I69">
        <f t="shared" si="3"/>
        <v>2.6506963974916289</v>
      </c>
    </row>
    <row r="70" spans="1:9">
      <c r="A70" s="15">
        <v>8</v>
      </c>
      <c r="B70" s="21">
        <f t="shared" si="4"/>
        <v>703</v>
      </c>
      <c r="C70" s="16">
        <f t="shared" si="4"/>
        <v>19</v>
      </c>
      <c r="D70" cm="1">
        <f t="array" ref="D70">ROUND(TREND($C$63:$C$114,$B$63:$B$114,B70),2)</f>
        <v>25.32</v>
      </c>
      <c r="E70" cm="1">
        <f t="array" ref="E70">GROWTH($C$63:$C$114,$B$63:$B$114,B70)</f>
        <v>23.958299368066488</v>
      </c>
      <c r="F70">
        <f t="shared" si="0"/>
        <v>25.916612508129219</v>
      </c>
      <c r="G70">
        <f t="shared" si="1"/>
        <v>6.32</v>
      </c>
      <c r="H70">
        <f t="shared" si="2"/>
        <v>4.9582993680664877</v>
      </c>
      <c r="I70">
        <f t="shared" si="3"/>
        <v>6.9166125081292193</v>
      </c>
    </row>
    <row r="71" spans="1:9">
      <c r="A71" s="15">
        <v>9</v>
      </c>
      <c r="B71" s="21">
        <f t="shared" si="4"/>
        <v>692</v>
      </c>
      <c r="C71" s="16">
        <f t="shared" si="4"/>
        <v>23</v>
      </c>
      <c r="D71" cm="1">
        <f t="array" ref="D71">ROUND(TREND($C$63:$C$114,$B$63:$B$114,B71),2)</f>
        <v>27.11</v>
      </c>
      <c r="E71" cm="1">
        <f t="array" ref="E71">GROWTH($C$63:$C$114,$B$63:$B$114,B71)</f>
        <v>25.19186279445551</v>
      </c>
      <c r="F71">
        <f t="shared" si="0"/>
        <v>25.85669665307978</v>
      </c>
      <c r="G71">
        <f t="shared" si="1"/>
        <v>4.1099999999999994</v>
      </c>
      <c r="H71">
        <f t="shared" si="2"/>
        <v>2.1918627944555098</v>
      </c>
      <c r="I71">
        <f t="shared" si="3"/>
        <v>2.8566966530797799</v>
      </c>
    </row>
    <row r="72" spans="1:9">
      <c r="A72" s="15">
        <v>10</v>
      </c>
      <c r="B72" s="21">
        <f t="shared" si="4"/>
        <v>682</v>
      </c>
      <c r="C72" s="16">
        <f t="shared" si="4"/>
        <v>27</v>
      </c>
      <c r="D72" cm="1">
        <f t="array" ref="D72">ROUND(TREND($C$63:$C$114,$B$63:$B$114,B72),2)</f>
        <v>28.75</v>
      </c>
      <c r="E72" cm="1">
        <f t="array" ref="E72">GROWTH($C$63:$C$114,$B$63:$B$114,B72)</f>
        <v>26.368314419956992</v>
      </c>
      <c r="F72">
        <f t="shared" si="0"/>
        <v>27.747710948081476</v>
      </c>
      <c r="G72">
        <f t="shared" si="1"/>
        <v>1.75</v>
      </c>
      <c r="H72">
        <f t="shared" si="2"/>
        <v>0.63168558004300834</v>
      </c>
      <c r="I72">
        <f t="shared" si="3"/>
        <v>0.74771094808147609</v>
      </c>
    </row>
    <row r="73" spans="1:9">
      <c r="A73" s="15">
        <v>11</v>
      </c>
      <c r="B73" s="21">
        <f t="shared" si="4"/>
        <v>675</v>
      </c>
      <c r="C73" s="16">
        <f t="shared" si="4"/>
        <v>16</v>
      </c>
      <c r="D73" cm="1">
        <f t="array" ref="D73">ROUND(TREND($C$63:$C$114,$B$63:$B$114,B73),2)</f>
        <v>29.89</v>
      </c>
      <c r="E73" cm="1">
        <f t="array" ref="E73">GROWTH($C$63:$C$114,$B$63:$B$114,B73)</f>
        <v>27.224369409159962</v>
      </c>
      <c r="F73">
        <f t="shared" si="0"/>
        <v>30.173861465258597</v>
      </c>
      <c r="G73">
        <f t="shared" si="1"/>
        <v>13.89</v>
      </c>
      <c r="H73">
        <f t="shared" si="2"/>
        <v>11.224369409159962</v>
      </c>
      <c r="I73">
        <f t="shared" si="3"/>
        <v>14.173861465258597</v>
      </c>
    </row>
    <row r="74" spans="1:9">
      <c r="A74" s="15">
        <v>12</v>
      </c>
      <c r="B74" s="21">
        <f t="shared" si="4"/>
        <v>693</v>
      </c>
      <c r="C74" s="16">
        <f t="shared" si="4"/>
        <v>23</v>
      </c>
      <c r="D74" cm="1">
        <f t="array" ref="D74">ROUND(TREND($C$63:$C$114,$B$63:$B$114,B74),2)</f>
        <v>26.95</v>
      </c>
      <c r="E74" cm="1">
        <f t="array" ref="E74">GROWTH($C$63:$C$114,$B$63:$B$114,B74)</f>
        <v>25.077143991260304</v>
      </c>
      <c r="F74">
        <f t="shared" si="0"/>
        <v>25.769501489272443</v>
      </c>
      <c r="G74">
        <f t="shared" si="1"/>
        <v>3.9499999999999993</v>
      </c>
      <c r="H74">
        <f t="shared" si="2"/>
        <v>2.0771439912603036</v>
      </c>
      <c r="I74">
        <f t="shared" si="3"/>
        <v>2.769501489272443</v>
      </c>
    </row>
    <row r="75" spans="1:9">
      <c r="A75" s="15">
        <v>13</v>
      </c>
      <c r="B75" s="21">
        <f t="shared" si="4"/>
        <v>699</v>
      </c>
      <c r="C75" s="16">
        <f t="shared" si="4"/>
        <v>18</v>
      </c>
      <c r="D75" cm="1">
        <f t="array" ref="D75">ROUND(TREND($C$63:$C$114,$B$63:$B$114,B75),2)</f>
        <v>25.97</v>
      </c>
      <c r="E75" cm="1">
        <f t="array" ref="E75">GROWTH($C$63:$C$114,$B$63:$B$114,B75)</f>
        <v>24.39971883297758</v>
      </c>
      <c r="F75">
        <f t="shared" si="0"/>
        <v>25.635427157256345</v>
      </c>
      <c r="G75">
        <f t="shared" si="1"/>
        <v>7.9699999999999989</v>
      </c>
      <c r="H75">
        <f t="shared" si="2"/>
        <v>6.3997188329775803</v>
      </c>
      <c r="I75">
        <f t="shared" si="3"/>
        <v>7.6354271572563448</v>
      </c>
    </row>
    <row r="76" spans="1:9">
      <c r="A76" s="15">
        <v>14</v>
      </c>
      <c r="B76" s="21">
        <f t="shared" si="4"/>
        <v>703</v>
      </c>
      <c r="C76" s="16">
        <f t="shared" si="4"/>
        <v>34</v>
      </c>
      <c r="D76" cm="1">
        <f t="array" ref="D76">ROUND(TREND($C$63:$C$114,$B$63:$B$114,B76),2)</f>
        <v>25.32</v>
      </c>
      <c r="E76" cm="1">
        <f t="array" ref="E76">GROWTH($C$63:$C$114,$B$63:$B$114,B76)</f>
        <v>23.958299368066488</v>
      </c>
      <c r="F76">
        <f t="shared" si="0"/>
        <v>25.916612508129219</v>
      </c>
      <c r="G76">
        <f t="shared" si="1"/>
        <v>8.68</v>
      </c>
      <c r="H76">
        <f t="shared" si="2"/>
        <v>10.041700631933512</v>
      </c>
      <c r="I76">
        <f t="shared" si="3"/>
        <v>8.0833874918707807</v>
      </c>
    </row>
    <row r="77" spans="1:9">
      <c r="A77" s="15">
        <v>15</v>
      </c>
      <c r="B77" s="21">
        <f t="shared" si="4"/>
        <v>686</v>
      </c>
      <c r="C77" s="16">
        <f t="shared" si="4"/>
        <v>35</v>
      </c>
      <c r="D77" cm="1">
        <f t="array" ref="D77">ROUND(TREND($C$63:$C$114,$B$63:$B$114,B77),2)</f>
        <v>28.09</v>
      </c>
      <c r="E77" cm="1">
        <f t="array" ref="E77">GROWTH($C$63:$C$114,$B$63:$B$114,B77)</f>
        <v>25.891280757334069</v>
      </c>
      <c r="F77">
        <f t="shared" si="0"/>
        <v>26.768964286749906</v>
      </c>
      <c r="G77">
        <f t="shared" si="1"/>
        <v>6.91</v>
      </c>
      <c r="H77">
        <f t="shared" si="2"/>
        <v>9.1087192426659307</v>
      </c>
      <c r="I77">
        <f t="shared" si="3"/>
        <v>8.231035713250094</v>
      </c>
    </row>
    <row r="78" spans="1:9">
      <c r="A78" s="15">
        <v>16</v>
      </c>
      <c r="B78" s="21">
        <f t="shared" si="4"/>
        <v>678</v>
      </c>
      <c r="C78" s="16">
        <f t="shared" si="4"/>
        <v>36</v>
      </c>
      <c r="D78" cm="1">
        <f t="array" ref="D78">ROUND(TREND($C$63:$C$114,$B$63:$B$114,B78),2)</f>
        <v>29.4</v>
      </c>
      <c r="E78" cm="1">
        <f t="array" ref="E78">GROWTH($C$63:$C$114,$B$63:$B$114,B78)</f>
        <v>26.854137184880731</v>
      </c>
      <c r="F78">
        <f t="shared" si="0"/>
        <v>29.022912200517567</v>
      </c>
      <c r="G78">
        <f t="shared" si="1"/>
        <v>6.6000000000000014</v>
      </c>
      <c r="H78">
        <f t="shared" si="2"/>
        <v>9.1458628151192691</v>
      </c>
      <c r="I78">
        <f t="shared" si="3"/>
        <v>6.9770877994824332</v>
      </c>
    </row>
    <row r="79" spans="1:9">
      <c r="A79" s="15">
        <v>17</v>
      </c>
      <c r="B79" s="21">
        <f t="shared" si="4"/>
        <v>671</v>
      </c>
      <c r="C79" s="16">
        <f t="shared" si="4"/>
        <v>30</v>
      </c>
      <c r="D79" cm="1">
        <f t="array" ref="D79">ROUND(TREND($C$63:$C$114,$B$63:$B$114,B79),2)</f>
        <v>30.55</v>
      </c>
      <c r="E79" cm="1">
        <f t="array" ref="E79">GROWTH($C$63:$C$114,$B$63:$B$114,B79)</f>
        <v>27.725964551307289</v>
      </c>
      <c r="F79">
        <f t="shared" si="0"/>
        <v>31.967858252132828</v>
      </c>
      <c r="G79">
        <f t="shared" si="1"/>
        <v>0.55000000000000071</v>
      </c>
      <c r="H79">
        <f t="shared" si="2"/>
        <v>2.274035448692711</v>
      </c>
      <c r="I79">
        <f t="shared" si="3"/>
        <v>1.9678582521328281</v>
      </c>
    </row>
    <row r="80" spans="1:9">
      <c r="A80" s="15">
        <v>18</v>
      </c>
      <c r="B80" s="21">
        <f t="shared" si="4"/>
        <v>688</v>
      </c>
      <c r="C80" s="16">
        <f t="shared" si="4"/>
        <v>25</v>
      </c>
      <c r="D80" cm="1">
        <f t="array" ref="D80">ROUND(TREND($C$63:$C$114,$B$63:$B$114,B80),2)</f>
        <v>27.77</v>
      </c>
      <c r="E80" cm="1">
        <f t="array" ref="E80">GROWTH($C$63:$C$114,$B$63:$B$114,B80)</f>
        <v>25.656010037296294</v>
      </c>
      <c r="F80">
        <f t="shared" si="0"/>
        <v>26.390761427751386</v>
      </c>
      <c r="G80">
        <f t="shared" si="1"/>
        <v>2.7699999999999996</v>
      </c>
      <c r="H80">
        <f t="shared" si="2"/>
        <v>0.65601003729629426</v>
      </c>
      <c r="I80">
        <f t="shared" si="3"/>
        <v>1.3907614277513858</v>
      </c>
    </row>
    <row r="81" spans="1:9">
      <c r="A81" s="15">
        <v>19</v>
      </c>
      <c r="B81" s="21">
        <f t="shared" si="4"/>
        <v>705</v>
      </c>
      <c r="C81" s="16">
        <f t="shared" si="4"/>
        <v>26</v>
      </c>
      <c r="D81" cm="1">
        <f t="array" ref="D81">ROUND(TREND($C$63:$C$114,$B$63:$B$114,B81),2)</f>
        <v>24.99</v>
      </c>
      <c r="E81" cm="1">
        <f t="array" ref="E81">GROWTH($C$63:$C$114,$B$63:$B$114,B81)</f>
        <v>23.740593399944039</v>
      </c>
      <c r="F81">
        <f t="shared" si="0"/>
        <v>26.168375655230193</v>
      </c>
      <c r="G81">
        <f t="shared" si="1"/>
        <v>1.0100000000000016</v>
      </c>
      <c r="H81">
        <f t="shared" si="2"/>
        <v>2.2594066000559607</v>
      </c>
      <c r="I81">
        <f t="shared" si="3"/>
        <v>0.16837565523019293</v>
      </c>
    </row>
    <row r="82" spans="1:9">
      <c r="A82" s="15">
        <v>20</v>
      </c>
      <c r="B82" s="21">
        <f t="shared" si="4"/>
        <v>705</v>
      </c>
      <c r="C82" s="16">
        <f t="shared" ref="C82" si="5">C25</f>
        <v>35</v>
      </c>
      <c r="D82" cm="1">
        <f t="array" ref="D82">ROUND(TREND($C$63:$C$114,$B$63:$B$114,B82),2)</f>
        <v>24.99</v>
      </c>
      <c r="E82" cm="1">
        <f t="array" ref="E82">GROWTH($C$63:$C$114,$B$63:$B$114,B82)</f>
        <v>23.740593399944039</v>
      </c>
      <c r="F82">
        <f t="shared" si="0"/>
        <v>26.168375655230193</v>
      </c>
      <c r="G82">
        <f t="shared" si="1"/>
        <v>10.010000000000002</v>
      </c>
      <c r="H82">
        <f t="shared" si="2"/>
        <v>11.259406600055961</v>
      </c>
      <c r="I82">
        <f t="shared" si="3"/>
        <v>8.8316243447698071</v>
      </c>
    </row>
    <row r="83" spans="1:9">
      <c r="A83" s="15">
        <v>21</v>
      </c>
      <c r="B83" s="21">
        <f t="shared" si="4"/>
        <v>673</v>
      </c>
      <c r="C83" s="16">
        <f t="shared" ref="C83" si="6">C26</f>
        <v>30</v>
      </c>
      <c r="D83" cm="1">
        <f t="array" ref="D83">ROUND(TREND($C$63:$C$114,$B$63:$B$114,B83),2)</f>
        <v>30.22</v>
      </c>
      <c r="E83" cm="1">
        <f t="array" ref="E83">GROWTH($C$63:$C$114,$B$63:$B$114,B83)</f>
        <v>27.474022296890997</v>
      </c>
      <c r="F83">
        <f t="shared" si="0"/>
        <v>31.033803034807534</v>
      </c>
      <c r="G83">
        <f t="shared" si="1"/>
        <v>0.21999999999999886</v>
      </c>
      <c r="H83">
        <f t="shared" si="2"/>
        <v>2.5259777031090032</v>
      </c>
      <c r="I83">
        <f t="shared" si="3"/>
        <v>1.0338030348075335</v>
      </c>
    </row>
    <row r="84" spans="1:9">
      <c r="A84" s="15">
        <v>22</v>
      </c>
      <c r="B84" s="21">
        <f t="shared" si="4"/>
        <v>681</v>
      </c>
      <c r="C84" s="16">
        <f t="shared" ref="C84" si="7">C27</f>
        <v>12</v>
      </c>
      <c r="D84" cm="1">
        <f t="array" ref="D84">ROUND(TREND($C$63:$C$114,$B$63:$B$114,B84),2)</f>
        <v>28.91</v>
      </c>
      <c r="E84" cm="1">
        <f t="array" ref="E84">GROWTH($C$63:$C$114,$B$63:$B$114,B84)</f>
        <v>26.488939857749521</v>
      </c>
      <c r="F84">
        <f t="shared" si="0"/>
        <v>28.038718643272659</v>
      </c>
      <c r="G84">
        <f t="shared" si="1"/>
        <v>16.91</v>
      </c>
      <c r="H84">
        <f t="shared" si="2"/>
        <v>14.488939857749521</v>
      </c>
      <c r="I84">
        <f t="shared" si="3"/>
        <v>16.038718643272659</v>
      </c>
    </row>
    <row r="85" spans="1:9">
      <c r="A85" s="15">
        <v>23</v>
      </c>
      <c r="B85" s="21">
        <f t="shared" si="4"/>
        <v>674</v>
      </c>
      <c r="C85" s="16">
        <f t="shared" ref="C85" si="8">C28</f>
        <v>33</v>
      </c>
      <c r="D85" cm="1">
        <f t="array" ref="D85">ROUND(TREND($C$63:$C$114,$B$63:$B$114,B85),2)</f>
        <v>30.06</v>
      </c>
      <c r="E85" cm="1">
        <f t="array" ref="E85">GROWTH($C$63:$C$114,$B$63:$B$114,B85)</f>
        <v>27.348910986839279</v>
      </c>
      <c r="F85">
        <f t="shared" si="0"/>
        <v>30.594568044060907</v>
      </c>
      <c r="G85">
        <f t="shared" si="1"/>
        <v>2.9400000000000013</v>
      </c>
      <c r="H85">
        <f t="shared" si="2"/>
        <v>5.6510890131607212</v>
      </c>
      <c r="I85">
        <f t="shared" si="3"/>
        <v>2.4054319559390933</v>
      </c>
    </row>
    <row r="86" spans="1:9">
      <c r="A86" s="15">
        <v>24</v>
      </c>
      <c r="B86" s="21">
        <f t="shared" si="4"/>
        <v>675</v>
      </c>
      <c r="C86" s="16">
        <f t="shared" ref="C86" si="9">C29</f>
        <v>44</v>
      </c>
      <c r="D86" cm="1">
        <f t="array" ref="D86">ROUND(TREND($C$63:$C$114,$B$63:$B$114,B86),2)</f>
        <v>29.89</v>
      </c>
      <c r="E86" cm="1">
        <f t="array" ref="E86">GROWTH($C$63:$C$114,$B$63:$B$114,B86)</f>
        <v>27.224369409159962</v>
      </c>
      <c r="F86">
        <f t="shared" si="0"/>
        <v>30.173861465258597</v>
      </c>
      <c r="G86">
        <f t="shared" si="1"/>
        <v>14.11</v>
      </c>
      <c r="H86">
        <f t="shared" si="2"/>
        <v>16.775630590840038</v>
      </c>
      <c r="I86">
        <f t="shared" si="3"/>
        <v>13.826138534741403</v>
      </c>
    </row>
    <row r="87" spans="1:9">
      <c r="A87" s="15">
        <v>25</v>
      </c>
      <c r="B87" s="21">
        <f t="shared" si="4"/>
        <v>683</v>
      </c>
      <c r="C87" s="16">
        <f t="shared" ref="C87" si="10">C30</f>
        <v>24</v>
      </c>
      <c r="D87" cm="1">
        <f t="array" ref="D87">ROUND(TREND($C$63:$C$114,$B$63:$B$114,B87),2)</f>
        <v>28.58</v>
      </c>
      <c r="E87" cm="1">
        <f t="array" ref="E87">GROWTH($C$63:$C$114,$B$63:$B$114,B87)</f>
        <v>26.248238286754255</v>
      </c>
      <c r="F87">
        <f t="shared" si="0"/>
        <v>27.475231664832791</v>
      </c>
      <c r="G87">
        <f t="shared" si="1"/>
        <v>4.5799999999999983</v>
      </c>
      <c r="H87">
        <f t="shared" si="2"/>
        <v>2.2482382867542547</v>
      </c>
      <c r="I87">
        <f t="shared" si="3"/>
        <v>3.4752316648327906</v>
      </c>
    </row>
    <row r="88" spans="1:9">
      <c r="A88" s="15">
        <v>26</v>
      </c>
      <c r="B88" s="21">
        <f t="shared" si="4"/>
        <v>689</v>
      </c>
      <c r="C88" s="16">
        <f t="shared" ref="C88" si="11">C31</f>
        <v>25</v>
      </c>
      <c r="D88" cm="1">
        <f t="array" ref="D88">ROUND(TREND($C$63:$C$114,$B$63:$B$114,B88),2)</f>
        <v>27.6</v>
      </c>
      <c r="E88" cm="1">
        <f t="array" ref="E88">GROWTH($C$63:$C$114,$B$63:$B$114,B88)</f>
        <v>25.539177598573648</v>
      </c>
      <c r="F88">
        <f t="shared" si="0"/>
        <v>26.229452616166782</v>
      </c>
      <c r="G88">
        <f t="shared" si="1"/>
        <v>2.6000000000000014</v>
      </c>
      <c r="H88">
        <f t="shared" si="2"/>
        <v>0.539177598573648</v>
      </c>
      <c r="I88">
        <f t="shared" si="3"/>
        <v>1.2294526161667818</v>
      </c>
    </row>
    <row r="89" spans="1:9">
      <c r="A89" s="15">
        <v>27</v>
      </c>
      <c r="B89" s="21">
        <f t="shared" si="4"/>
        <v>707</v>
      </c>
      <c r="C89" s="16">
        <f t="shared" ref="C89" si="12">C32</f>
        <v>46</v>
      </c>
      <c r="D89" cm="1">
        <f t="array" ref="D89">ROUND(TREND($C$63:$C$114,$B$63:$B$114,B89),2)</f>
        <v>24.66</v>
      </c>
      <c r="E89" cm="1">
        <f t="array" ref="E89">GROWTH($C$63:$C$114,$B$63:$B$114,B89)</f>
        <v>23.524865697800667</v>
      </c>
      <c r="F89">
        <f t="shared" si="0"/>
        <v>26.494252450109343</v>
      </c>
      <c r="G89">
        <f t="shared" si="1"/>
        <v>21.34</v>
      </c>
      <c r="H89">
        <f t="shared" si="2"/>
        <v>22.475134302199333</v>
      </c>
      <c r="I89">
        <f t="shared" si="3"/>
        <v>19.505747549890657</v>
      </c>
    </row>
    <row r="90" spans="1:9">
      <c r="A90" s="15">
        <v>28</v>
      </c>
      <c r="B90" s="21">
        <f t="shared" si="4"/>
        <v>707</v>
      </c>
      <c r="C90" s="16">
        <f t="shared" ref="C90" si="13">C33</f>
        <v>33</v>
      </c>
      <c r="D90" cm="1">
        <f t="array" ref="D90">ROUND(TREND($C$63:$C$114,$B$63:$B$114,B90),2)</f>
        <v>24.66</v>
      </c>
      <c r="E90" cm="1">
        <f t="array" ref="E90">GROWTH($C$63:$C$114,$B$63:$B$114,B90)</f>
        <v>23.524865697800667</v>
      </c>
      <c r="F90">
        <f t="shared" si="0"/>
        <v>26.494252450109343</v>
      </c>
      <c r="G90">
        <f t="shared" si="1"/>
        <v>8.34</v>
      </c>
      <c r="H90">
        <f t="shared" si="2"/>
        <v>9.4751343021993328</v>
      </c>
      <c r="I90">
        <f t="shared" si="3"/>
        <v>6.505747549890657</v>
      </c>
    </row>
    <row r="91" spans="1:9">
      <c r="A91" s="15">
        <v>29</v>
      </c>
      <c r="B91" s="21">
        <f t="shared" si="4"/>
        <v>693</v>
      </c>
      <c r="C91" s="16">
        <f t="shared" ref="C91" si="14">C34</f>
        <v>38</v>
      </c>
      <c r="D91" cm="1">
        <f t="array" ref="D91">ROUND(TREND($C$63:$C$114,$B$63:$B$114,B91),2)</f>
        <v>26.95</v>
      </c>
      <c r="E91" cm="1">
        <f t="array" ref="E91">GROWTH($C$63:$C$114,$B$63:$B$114,B91)</f>
        <v>25.077143991260304</v>
      </c>
      <c r="F91">
        <f t="shared" si="0"/>
        <v>25.769501489272443</v>
      </c>
      <c r="G91">
        <f t="shared" si="1"/>
        <v>11.05</v>
      </c>
      <c r="H91">
        <f t="shared" si="2"/>
        <v>12.922856008739696</v>
      </c>
      <c r="I91">
        <f t="shared" si="3"/>
        <v>12.230498510727557</v>
      </c>
    </row>
    <row r="92" spans="1:9">
      <c r="A92" s="15">
        <v>30</v>
      </c>
      <c r="B92" s="21">
        <f t="shared" si="4"/>
        <v>677</v>
      </c>
      <c r="C92" s="16">
        <f t="shared" ref="C92" si="15">C35</f>
        <v>48</v>
      </c>
      <c r="D92" cm="1">
        <f t="array" ref="D92">ROUND(TREND($C$63:$C$114,$B$63:$B$114,B92),2)</f>
        <v>29.57</v>
      </c>
      <c r="E92" cm="1">
        <f t="array" ref="E92">GROWTH($C$63:$C$114,$B$63:$B$114,B92)</f>
        <v>26.97698508493518</v>
      </c>
      <c r="F92">
        <f t="shared" si="0"/>
        <v>29.388033543487836</v>
      </c>
      <c r="G92">
        <f t="shared" si="1"/>
        <v>18.43</v>
      </c>
      <c r="H92">
        <f t="shared" si="2"/>
        <v>21.02301491506482</v>
      </c>
      <c r="I92">
        <f t="shared" si="3"/>
        <v>18.611966456512164</v>
      </c>
    </row>
    <row r="93" spans="1:9">
      <c r="A93" s="15">
        <v>31</v>
      </c>
      <c r="B93" s="21">
        <f t="shared" si="4"/>
        <v>687</v>
      </c>
      <c r="C93" s="16">
        <f t="shared" ref="C93" si="16">C36</f>
        <v>40</v>
      </c>
      <c r="D93" cm="1">
        <f t="array" ref="D93">ROUND(TREND($C$63:$C$114,$B$63:$B$114,B93),2)</f>
        <v>27.93</v>
      </c>
      <c r="E93" cm="1">
        <f t="array" ref="E93">GROWTH($C$63:$C$114,$B$63:$B$114,B93)</f>
        <v>25.773376941887513</v>
      </c>
      <c r="F93">
        <f t="shared" si="0"/>
        <v>26.570598651277578</v>
      </c>
      <c r="G93">
        <f t="shared" si="1"/>
        <v>12.07</v>
      </c>
      <c r="H93">
        <f t="shared" si="2"/>
        <v>14.226623058112487</v>
      </c>
      <c r="I93">
        <f t="shared" si="3"/>
        <v>13.429401348722422</v>
      </c>
    </row>
    <row r="94" spans="1:9">
      <c r="A94" s="15">
        <v>32</v>
      </c>
      <c r="B94" s="21">
        <f t="shared" si="4"/>
        <v>687</v>
      </c>
      <c r="C94" s="16">
        <f t="shared" ref="C94" si="17">C37</f>
        <v>22</v>
      </c>
      <c r="D94" cm="1">
        <f t="array" ref="D94">ROUND(TREND($C$63:$C$114,$B$63:$B$114,B94),2)</f>
        <v>27.93</v>
      </c>
      <c r="E94" cm="1">
        <f t="array" ref="E94">GROWTH($C$63:$C$114,$B$63:$B$114,B94)</f>
        <v>25.773376941887513</v>
      </c>
      <c r="F94">
        <f t="shared" si="0"/>
        <v>26.570598651277578</v>
      </c>
      <c r="G94">
        <f t="shared" si="1"/>
        <v>5.93</v>
      </c>
      <c r="H94">
        <f t="shared" si="2"/>
        <v>3.7733769418875127</v>
      </c>
      <c r="I94">
        <f t="shared" si="3"/>
        <v>4.570598651277578</v>
      </c>
    </row>
    <row r="95" spans="1:9">
      <c r="A95" s="15">
        <v>33</v>
      </c>
      <c r="B95" s="21">
        <f t="shared" si="4"/>
        <v>686</v>
      </c>
      <c r="C95" s="16">
        <f t="shared" ref="C95" si="18">C38</f>
        <v>15</v>
      </c>
      <c r="D95" cm="1">
        <f t="array" ref="D95">ROUND(TREND($C$63:$C$114,$B$63:$B$114,B95),2)</f>
        <v>28.09</v>
      </c>
      <c r="E95" cm="1">
        <f t="array" ref="E95">GROWTH($C$63:$C$114,$B$63:$B$114,B95)</f>
        <v>25.891280757334069</v>
      </c>
      <c r="F95">
        <f t="shared" ref="F95:F114" si="19">$L$63*B95^2+$M$63*B95+$N$63</f>
        <v>26.768964286749906</v>
      </c>
      <c r="G95">
        <f t="shared" si="1"/>
        <v>13.09</v>
      </c>
      <c r="H95">
        <f t="shared" si="2"/>
        <v>10.891280757334069</v>
      </c>
      <c r="I95">
        <f t="shared" si="3"/>
        <v>11.768964286749906</v>
      </c>
    </row>
    <row r="96" spans="1:9">
      <c r="A96" s="15">
        <v>34</v>
      </c>
      <c r="B96" s="21">
        <f t="shared" si="4"/>
        <v>696</v>
      </c>
      <c r="C96" s="16">
        <f t="shared" ref="C96:C98" si="20">C39</f>
        <v>22</v>
      </c>
      <c r="D96" cm="1">
        <f t="array" ref="D96">ROUND(TREND($C$63:$C$114,$B$63:$B$114,B96),2)</f>
        <v>26.46</v>
      </c>
      <c r="E96" cm="1">
        <f t="array" ref="E96">GROWTH($C$63:$C$114,$B$63:$B$114,B96)</f>
        <v>24.736112518357537</v>
      </c>
      <c r="F96">
        <f t="shared" si="19"/>
        <v>25.619086469516333</v>
      </c>
      <c r="G96">
        <f t="shared" ref="G96:G114" si="21">ABS(D96-C96)</f>
        <v>4.4600000000000009</v>
      </c>
      <c r="H96">
        <f t="shared" ref="H96:H114" si="22">ABS(E96-$C96)</f>
        <v>2.7361125183575368</v>
      </c>
      <c r="I96">
        <f t="shared" ref="I96:I114" si="23">ABS(F96-$C96)</f>
        <v>3.6190864695163327</v>
      </c>
    </row>
    <row r="97" spans="1:9">
      <c r="A97" s="15">
        <v>35</v>
      </c>
      <c r="B97" s="21">
        <f t="shared" si="4"/>
        <v>703</v>
      </c>
      <c r="C97" s="16">
        <f t="shared" si="20"/>
        <v>16</v>
      </c>
      <c r="D97" cm="1">
        <f t="array" ref="D97">ROUND(TREND($C$63:$C$114,$B$63:$B$114,B97),2)</f>
        <v>25.32</v>
      </c>
      <c r="E97" cm="1">
        <f t="array" ref="E97">GROWTH($C$63:$C$114,$B$63:$B$114,B97)</f>
        <v>23.958299368066488</v>
      </c>
      <c r="F97">
        <f t="shared" si="19"/>
        <v>25.916612508129219</v>
      </c>
      <c r="G97">
        <f t="shared" si="21"/>
        <v>9.32</v>
      </c>
      <c r="H97">
        <f t="shared" si="22"/>
        <v>7.9582993680664877</v>
      </c>
      <c r="I97">
        <f t="shared" si="23"/>
        <v>9.9166125081292193</v>
      </c>
    </row>
    <row r="98" spans="1:9">
      <c r="A98" s="15">
        <v>36</v>
      </c>
      <c r="B98" s="21">
        <f t="shared" si="4"/>
        <v>670</v>
      </c>
      <c r="C98" s="16">
        <f t="shared" si="20"/>
        <v>19</v>
      </c>
      <c r="D98" cm="1">
        <f t="array" ref="D98">ROUND(TREND($C$63:$C$114,$B$63:$B$114,B98),2)</f>
        <v>30.71</v>
      </c>
      <c r="E98" cm="1">
        <f t="array" ref="E98">GROWTH($C$63:$C$114,$B$63:$B$114,B98)</f>
        <v>27.852800744131596</v>
      </c>
      <c r="F98">
        <f t="shared" si="19"/>
        <v>32.462678478712405</v>
      </c>
      <c r="G98">
        <f t="shared" si="21"/>
        <v>11.71</v>
      </c>
      <c r="H98">
        <f t="shared" si="22"/>
        <v>8.8528007441315957</v>
      </c>
      <c r="I98">
        <f t="shared" si="23"/>
        <v>13.462678478712405</v>
      </c>
    </row>
    <row r="99" spans="1:9">
      <c r="A99" s="15">
        <v>37</v>
      </c>
      <c r="B99" s="21">
        <f t="shared" si="4"/>
        <v>702</v>
      </c>
      <c r="C99" s="16">
        <f t="shared" ref="C99" si="24">C42</f>
        <v>13</v>
      </c>
      <c r="D99" cm="1">
        <f t="array" ref="D99">ROUND(TREND($C$63:$C$114,$B$63:$B$114,B99),2)</f>
        <v>25.48</v>
      </c>
      <c r="E99" cm="1">
        <f t="array" ref="E99">GROWTH($C$63:$C$114,$B$63:$B$114,B99)</f>
        <v>24.067899864480861</v>
      </c>
      <c r="F99">
        <f t="shared" si="19"/>
        <v>25.818523552495208</v>
      </c>
      <c r="G99">
        <f t="shared" si="21"/>
        <v>12.48</v>
      </c>
      <c r="H99">
        <f t="shared" si="22"/>
        <v>11.067899864480861</v>
      </c>
      <c r="I99">
        <f t="shared" si="23"/>
        <v>12.818523552495208</v>
      </c>
    </row>
    <row r="100" spans="1:9">
      <c r="A100" s="15">
        <v>38</v>
      </c>
      <c r="B100" s="21">
        <f t="shared" si="4"/>
        <v>705</v>
      </c>
      <c r="C100" s="16">
        <f t="shared" ref="C100" si="25">C43</f>
        <v>19</v>
      </c>
      <c r="D100" cm="1">
        <f t="array" ref="D100">ROUND(TREND($C$63:$C$114,$B$63:$B$114,B100),2)</f>
        <v>24.99</v>
      </c>
      <c r="E100" cm="1">
        <f t="array" ref="E100">GROWTH($C$63:$C$114,$B$63:$B$114,B100)</f>
        <v>23.740593399944039</v>
      </c>
      <c r="F100">
        <f t="shared" si="19"/>
        <v>26.168375655230193</v>
      </c>
      <c r="G100">
        <f t="shared" si="21"/>
        <v>5.9899999999999984</v>
      </c>
      <c r="H100">
        <f t="shared" si="22"/>
        <v>4.7405933999440393</v>
      </c>
      <c r="I100">
        <f t="shared" si="23"/>
        <v>7.1683756552301929</v>
      </c>
    </row>
    <row r="101" spans="1:9">
      <c r="A101" s="15">
        <v>39</v>
      </c>
      <c r="B101" s="21">
        <f t="shared" si="4"/>
        <v>685</v>
      </c>
      <c r="C101" s="16">
        <f t="shared" ref="C101" si="26">C44</f>
        <v>16</v>
      </c>
      <c r="D101" cm="1">
        <f t="array" ref="D101">ROUND(TREND($C$63:$C$114,$B$63:$B$114,B101),2)</f>
        <v>28.26</v>
      </c>
      <c r="E101" cm="1">
        <f t="array" ref="E101">GROWTH($C$63:$C$114,$B$63:$B$114,B101)</f>
        <v>26.009723939807614</v>
      </c>
      <c r="F101">
        <f t="shared" si="19"/>
        <v>26.985858334166551</v>
      </c>
      <c r="G101">
        <f t="shared" si="21"/>
        <v>12.260000000000002</v>
      </c>
      <c r="H101">
        <f t="shared" si="22"/>
        <v>10.009723939807614</v>
      </c>
      <c r="I101">
        <f t="shared" si="23"/>
        <v>10.985858334166551</v>
      </c>
    </row>
    <row r="102" spans="1:9">
      <c r="A102" s="15">
        <v>40</v>
      </c>
      <c r="B102" s="21">
        <f t="shared" si="4"/>
        <v>670</v>
      </c>
      <c r="C102" s="16">
        <f t="shared" ref="C102" si="27">C45</f>
        <v>16</v>
      </c>
      <c r="D102" cm="1">
        <f t="array" ref="D102">ROUND(TREND($C$63:$C$114,$B$63:$B$114,B102),2)</f>
        <v>30.71</v>
      </c>
      <c r="E102" cm="1">
        <f t="array" ref="E102">GROWTH($C$63:$C$114,$B$63:$B$114,B102)</f>
        <v>27.852800744131596</v>
      </c>
      <c r="F102">
        <f t="shared" si="19"/>
        <v>32.462678478712405</v>
      </c>
      <c r="G102">
        <f t="shared" si="21"/>
        <v>14.71</v>
      </c>
      <c r="H102">
        <f t="shared" si="22"/>
        <v>11.852800744131596</v>
      </c>
      <c r="I102">
        <f t="shared" si="23"/>
        <v>16.462678478712405</v>
      </c>
    </row>
    <row r="103" spans="1:9">
      <c r="A103" s="15">
        <v>41</v>
      </c>
      <c r="B103" s="21">
        <f t="shared" si="4"/>
        <v>674</v>
      </c>
      <c r="C103" s="16">
        <f t="shared" ref="C103" si="28">C46</f>
        <v>13</v>
      </c>
      <c r="D103" cm="1">
        <f t="array" ref="D103">ROUND(TREND($C$63:$C$114,$B$63:$B$114,B103),2)</f>
        <v>30.06</v>
      </c>
      <c r="E103" cm="1">
        <f t="array" ref="E103">GROWTH($C$63:$C$114,$B$63:$B$114,B103)</f>
        <v>27.348910986839279</v>
      </c>
      <c r="F103">
        <f t="shared" si="19"/>
        <v>30.594568044060907</v>
      </c>
      <c r="G103">
        <f t="shared" si="21"/>
        <v>17.059999999999999</v>
      </c>
      <c r="H103">
        <f t="shared" si="22"/>
        <v>14.348910986839279</v>
      </c>
      <c r="I103">
        <f t="shared" si="23"/>
        <v>17.594568044060907</v>
      </c>
    </row>
    <row r="104" spans="1:9">
      <c r="A104" s="15">
        <v>42</v>
      </c>
      <c r="B104" s="21">
        <f t="shared" si="4"/>
        <v>705</v>
      </c>
      <c r="C104" s="16">
        <f t="shared" ref="C104" si="29">C47</f>
        <v>37</v>
      </c>
      <c r="D104" cm="1">
        <f t="array" ref="D104">ROUND(TREND($C$63:$C$114,$B$63:$B$114,B104),2)</f>
        <v>24.99</v>
      </c>
      <c r="E104" cm="1">
        <f t="array" ref="E104">GROWTH($C$63:$C$114,$B$63:$B$114,B104)</f>
        <v>23.740593399944039</v>
      </c>
      <c r="F104">
        <f t="shared" si="19"/>
        <v>26.168375655230193</v>
      </c>
      <c r="G104">
        <f t="shared" si="21"/>
        <v>12.010000000000002</v>
      </c>
      <c r="H104">
        <f t="shared" si="22"/>
        <v>13.259406600055961</v>
      </c>
      <c r="I104">
        <f t="shared" si="23"/>
        <v>10.831624344769807</v>
      </c>
    </row>
    <row r="105" spans="1:9">
      <c r="A105" s="15">
        <v>43</v>
      </c>
      <c r="B105" s="21">
        <f t="shared" si="4"/>
        <v>689</v>
      </c>
      <c r="C105" s="16">
        <f t="shared" ref="C105" si="30">C48</f>
        <v>33</v>
      </c>
      <c r="D105" cm="1">
        <f t="array" ref="D105">ROUND(TREND($C$63:$C$114,$B$63:$B$114,B105),2)</f>
        <v>27.6</v>
      </c>
      <c r="E105" cm="1">
        <f t="array" ref="E105">GROWTH($C$63:$C$114,$B$63:$B$114,B105)</f>
        <v>25.539177598573648</v>
      </c>
      <c r="F105">
        <f t="shared" si="19"/>
        <v>26.229452616166782</v>
      </c>
      <c r="G105">
        <f t="shared" si="21"/>
        <v>5.3999999999999986</v>
      </c>
      <c r="H105">
        <f t="shared" si="22"/>
        <v>7.460822401426352</v>
      </c>
      <c r="I105">
        <f t="shared" si="23"/>
        <v>6.7705473838332182</v>
      </c>
    </row>
    <row r="106" spans="1:9">
      <c r="A106" s="15">
        <v>44</v>
      </c>
      <c r="B106" s="21">
        <f t="shared" si="4"/>
        <v>674</v>
      </c>
      <c r="C106" s="16">
        <f t="shared" ref="C106" si="31">C49</f>
        <v>47</v>
      </c>
      <c r="D106" cm="1">
        <f t="array" ref="D106">ROUND(TREND($C$63:$C$114,$B$63:$B$114,B106),2)</f>
        <v>30.06</v>
      </c>
      <c r="E106" cm="1">
        <f t="array" ref="E106">GROWTH($C$63:$C$114,$B$63:$B$114,B106)</f>
        <v>27.348910986839279</v>
      </c>
      <c r="F106">
        <f t="shared" si="19"/>
        <v>30.594568044060907</v>
      </c>
      <c r="G106">
        <f t="shared" si="21"/>
        <v>16.940000000000001</v>
      </c>
      <c r="H106">
        <f t="shared" si="22"/>
        <v>19.651089013160721</v>
      </c>
      <c r="I106">
        <f t="shared" si="23"/>
        <v>16.405431955939093</v>
      </c>
    </row>
    <row r="107" spans="1:9">
      <c r="A107" s="15">
        <v>45</v>
      </c>
      <c r="B107" s="21">
        <f t="shared" si="4"/>
        <v>670</v>
      </c>
      <c r="C107" s="16">
        <f t="shared" ref="C107" si="32">C50</f>
        <v>41</v>
      </c>
      <c r="D107" cm="1">
        <f t="array" ref="D107">ROUND(TREND($C$63:$C$114,$B$63:$B$114,B107),2)</f>
        <v>30.71</v>
      </c>
      <c r="E107" cm="1">
        <f t="array" ref="E107">GROWTH($C$63:$C$114,$B$63:$B$114,B107)</f>
        <v>27.852800744131596</v>
      </c>
      <c r="F107">
        <f t="shared" si="19"/>
        <v>32.462678478712405</v>
      </c>
      <c r="G107">
        <f t="shared" si="21"/>
        <v>10.29</v>
      </c>
      <c r="H107">
        <f t="shared" si="22"/>
        <v>13.147199255868404</v>
      </c>
      <c r="I107">
        <f t="shared" si="23"/>
        <v>8.5373215212875948</v>
      </c>
    </row>
    <row r="108" spans="1:9">
      <c r="A108" s="15">
        <v>46</v>
      </c>
      <c r="B108" s="21">
        <f t="shared" si="4"/>
        <v>706</v>
      </c>
      <c r="C108" s="16">
        <f t="shared" ref="C108" si="33">C51</f>
        <v>29</v>
      </c>
      <c r="D108" cm="1">
        <f t="array" ref="D108">ROUND(TREND($C$63:$C$114,$B$63:$B$114,B108),2)</f>
        <v>24.82</v>
      </c>
      <c r="E108" cm="1">
        <f t="array" ref="E108">GROWTH($C$63:$C$114,$B$63:$B$114,B108)</f>
        <v>23.632483392986366</v>
      </c>
      <c r="F108">
        <f t="shared" si="19"/>
        <v>26.322049846696245</v>
      </c>
      <c r="G108">
        <f t="shared" si="21"/>
        <v>4.18</v>
      </c>
      <c r="H108">
        <f t="shared" si="22"/>
        <v>5.3675166070136342</v>
      </c>
      <c r="I108">
        <f t="shared" si="23"/>
        <v>2.6779501533037546</v>
      </c>
    </row>
    <row r="109" spans="1:9">
      <c r="A109" s="15">
        <v>47</v>
      </c>
      <c r="B109" s="21">
        <f t="shared" si="4"/>
        <v>703</v>
      </c>
      <c r="C109" s="16">
        <f t="shared" ref="C109" si="34">C52</f>
        <v>13</v>
      </c>
      <c r="D109" cm="1">
        <f t="array" ref="D109">ROUND(TREND($C$63:$C$114,$B$63:$B$114,B109),2)</f>
        <v>25.32</v>
      </c>
      <c r="E109" cm="1">
        <f t="array" ref="E109">GROWTH($C$63:$C$114,$B$63:$B$114,B109)</f>
        <v>23.958299368066488</v>
      </c>
      <c r="F109">
        <f t="shared" si="19"/>
        <v>25.916612508129219</v>
      </c>
      <c r="G109">
        <f t="shared" si="21"/>
        <v>12.32</v>
      </c>
      <c r="H109">
        <f t="shared" si="22"/>
        <v>10.958299368066488</v>
      </c>
      <c r="I109">
        <f t="shared" si="23"/>
        <v>12.916612508129219</v>
      </c>
    </row>
    <row r="110" spans="1:9">
      <c r="A110" s="15">
        <v>48</v>
      </c>
      <c r="B110" s="21">
        <f t="shared" si="4"/>
        <v>694</v>
      </c>
      <c r="C110" s="16">
        <f t="shared" ref="C110" si="35">C53</f>
        <v>30</v>
      </c>
      <c r="D110" cm="1">
        <f t="array" ref="D110">ROUND(TREND($C$63:$C$114,$B$63:$B$114,B110),2)</f>
        <v>26.79</v>
      </c>
      <c r="E110" cm="1">
        <f t="array" ref="E110">GROWTH($C$63:$C$114,$B$63:$B$114,B110)</f>
        <v>24.962947594999207</v>
      </c>
      <c r="F110">
        <f t="shared" si="19"/>
        <v>25.700834737408513</v>
      </c>
      <c r="G110">
        <f t="shared" si="21"/>
        <v>3.2100000000000009</v>
      </c>
      <c r="H110">
        <f t="shared" si="22"/>
        <v>5.037052405000793</v>
      </c>
      <c r="I110">
        <f t="shared" si="23"/>
        <v>4.2991652625914867</v>
      </c>
    </row>
    <row r="111" spans="1:9">
      <c r="A111" s="15">
        <v>49</v>
      </c>
      <c r="B111" s="21">
        <f t="shared" si="4"/>
        <v>671</v>
      </c>
      <c r="C111" s="16">
        <f t="shared" ref="C111" si="36">C54</f>
        <v>45</v>
      </c>
      <c r="D111" cm="1">
        <f t="array" ref="D111">ROUND(TREND($C$63:$C$114,$B$63:$B$114,B111),2)</f>
        <v>30.55</v>
      </c>
      <c r="E111" cm="1">
        <f t="array" ref="E111">GROWTH($C$63:$C$114,$B$63:$B$114,B111)</f>
        <v>27.725964551307289</v>
      </c>
      <c r="F111">
        <f t="shared" si="19"/>
        <v>31.967858252132828</v>
      </c>
      <c r="G111">
        <f t="shared" si="21"/>
        <v>14.45</v>
      </c>
      <c r="H111">
        <f t="shared" si="22"/>
        <v>17.274035448692711</v>
      </c>
      <c r="I111">
        <f t="shared" si="23"/>
        <v>13.032141747867172</v>
      </c>
    </row>
    <row r="112" spans="1:9">
      <c r="A112" s="15">
        <v>50</v>
      </c>
      <c r="B112" s="21">
        <f t="shared" si="4"/>
        <v>696</v>
      </c>
      <c r="C112" s="16">
        <f t="shared" ref="C112" si="37">C55</f>
        <v>17</v>
      </c>
      <c r="D112" cm="1">
        <f t="array" ref="D112">ROUND(TREND($C$63:$C$114,$B$63:$B$114,B112),2)</f>
        <v>26.46</v>
      </c>
      <c r="E112" cm="1">
        <f t="array" ref="E112">GROWTH($C$63:$C$114,$B$63:$B$114,B112)</f>
        <v>24.736112518357537</v>
      </c>
      <c r="F112">
        <f t="shared" si="19"/>
        <v>25.619086469516333</v>
      </c>
      <c r="G112">
        <f t="shared" si="21"/>
        <v>9.4600000000000009</v>
      </c>
      <c r="H112">
        <f t="shared" si="22"/>
        <v>7.7361125183575368</v>
      </c>
      <c r="I112">
        <f t="shared" si="23"/>
        <v>8.6190864695163327</v>
      </c>
    </row>
    <row r="113" spans="1:9">
      <c r="A113" s="15">
        <v>51</v>
      </c>
      <c r="B113" s="21">
        <f t="shared" si="4"/>
        <v>691</v>
      </c>
      <c r="C113" s="16">
        <f t="shared" ref="C113:C114" si="38">C56</f>
        <v>30</v>
      </c>
      <c r="D113" cm="1">
        <f t="array" ref="D113">ROUND(TREND($C$63:$C$114,$B$63:$B$114,B113),2)</f>
        <v>27.28</v>
      </c>
      <c r="E113" cm="1">
        <f t="array" ref="E113">GROWTH($C$63:$C$114,$B$63:$B$114,B113)</f>
        <v>25.307106394406315</v>
      </c>
      <c r="F113">
        <f t="shared" si="19"/>
        <v>25.962420228831434</v>
      </c>
      <c r="G113">
        <f t="shared" si="21"/>
        <v>2.7199999999999989</v>
      </c>
      <c r="H113">
        <f t="shared" si="22"/>
        <v>4.6928936055936852</v>
      </c>
      <c r="I113">
        <f t="shared" si="23"/>
        <v>4.0375797711685664</v>
      </c>
    </row>
    <row r="114" spans="1:9">
      <c r="A114" s="15">
        <v>52</v>
      </c>
      <c r="B114" s="21">
        <f t="shared" si="4"/>
        <v>677</v>
      </c>
      <c r="C114" s="16">
        <f t="shared" si="38"/>
        <v>47</v>
      </c>
      <c r="D114" cm="1">
        <f t="array" ref="D114">ROUND(TREND($C$63:$C$114,$B$63:$B$114,B114),2)</f>
        <v>29.57</v>
      </c>
      <c r="E114" cm="1">
        <f t="array" ref="E114">GROWTH($C$63:$C$114,$B$63:$B$114,B114)</f>
        <v>26.97698508493518</v>
      </c>
      <c r="F114">
        <f t="shared" si="19"/>
        <v>29.388033543487836</v>
      </c>
      <c r="G114">
        <f t="shared" si="21"/>
        <v>17.43</v>
      </c>
      <c r="H114">
        <f t="shared" si="22"/>
        <v>20.02301491506482</v>
      </c>
      <c r="I114">
        <f t="shared" si="23"/>
        <v>17.611966456512164</v>
      </c>
    </row>
    <row r="116" spans="1:9">
      <c r="A116" s="41" t="s">
        <v>112</v>
      </c>
      <c r="B116" s="41"/>
      <c r="C116" s="41"/>
      <c r="D116" s="41"/>
    </row>
    <row r="117" spans="1:9">
      <c r="A117" s="7" t="s">
        <v>113</v>
      </c>
      <c r="B117" s="7" t="s">
        <v>114</v>
      </c>
      <c r="C117" s="7" t="s">
        <v>115</v>
      </c>
      <c r="D117" s="45" t="s">
        <v>116</v>
      </c>
      <c r="E117" s="45" t="s">
        <v>117</v>
      </c>
      <c r="F117" s="45" t="s">
        <v>118</v>
      </c>
    </row>
    <row r="118" spans="1:9">
      <c r="A118" s="42" t="s">
        <v>98</v>
      </c>
      <c r="B118" s="43">
        <v>700</v>
      </c>
      <c r="C118" s="44">
        <f ca="1">OFFSET(C117,1,MATCH(G122,G121:I121,0))</f>
        <v>25.677930877057406</v>
      </c>
      <c r="D118" s="10">
        <f>TREND(C63:C114,B63:B114,B118)</f>
        <v>25.805555831882614</v>
      </c>
      <c r="E118" s="10">
        <f>GROWTH(C63:C114,B63:B114,B118)</f>
        <v>24.288607298048351</v>
      </c>
      <c r="F118" s="51">
        <f>$L$63*(B118)^2 +$M$63*B118 + $N$63</f>
        <v>25.677930877057406</v>
      </c>
    </row>
    <row r="120" spans="1:9">
      <c r="F120" s="14"/>
      <c r="G120" s="14" t="s">
        <v>119</v>
      </c>
      <c r="H120" s="14" t="s">
        <v>120</v>
      </c>
      <c r="I120" s="14" t="s">
        <v>121</v>
      </c>
    </row>
    <row r="121" spans="1:9">
      <c r="F121" s="14" t="s">
        <v>122</v>
      </c>
      <c r="G121" s="10">
        <f>AVERAGE(G63:G114)</f>
        <v>9.1067307692307669</v>
      </c>
      <c r="H121" s="10">
        <f>AVERAGE(H63:H114)</f>
        <v>9.0616543005988053</v>
      </c>
      <c r="I121" s="10">
        <f>AVERAGE(I63:I114)</f>
        <v>8.9520356758521125</v>
      </c>
    </row>
    <row r="122" spans="1:9">
      <c r="F122" s="14" t="s">
        <v>123</v>
      </c>
      <c r="G122" s="46">
        <f>MIN(G121:I121)</f>
        <v>8.9520356758521125</v>
      </c>
      <c r="H122" s="46"/>
      <c r="I122" s="46"/>
    </row>
    <row r="123" spans="1:9">
      <c r="A123" s="15"/>
      <c r="B123" s="47"/>
      <c r="C123" s="15"/>
      <c r="F123" s="14" t="s">
        <v>124</v>
      </c>
      <c r="G123" s="48" t="str">
        <f ca="1">OFFSET(F120,0,MATCH(G122,G121:I121,0))</f>
        <v>Polynomial Error</v>
      </c>
      <c r="H123" s="49"/>
      <c r="I123" s="50"/>
    </row>
  </sheetData>
  <sortState xmlns:xlrd2="http://schemas.microsoft.com/office/spreadsheetml/2017/richdata2" ref="N5:N10">
    <sortCondition ref="N5"/>
  </sortState>
  <mergeCells count="1">
    <mergeCell ref="A4:C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PriceAndSales">
                <anchor moveWithCells="1" sizeWithCells="1">
                  <from>
                    <xdr:col>3</xdr:col>
                    <xdr:colOff>396240</xdr:colOff>
                    <xdr:row>9</xdr:row>
                    <xdr:rowOff>167640</xdr:rowOff>
                  </from>
                  <to>
                    <xdr:col>4</xdr:col>
                    <xdr:colOff>952500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ecastPeriod">
                <anchor moveWithCells="1" sizeWithCells="1">
                  <from>
                    <xdr:col>3</xdr:col>
                    <xdr:colOff>365760</xdr:colOff>
                    <xdr:row>4</xdr:row>
                    <xdr:rowOff>137160</xdr:rowOff>
                  </from>
                  <to>
                    <xdr:col>4</xdr:col>
                    <xdr:colOff>990600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ackToWelcome">
                <anchor moveWithCells="1" sizeWithCells="1">
                  <from>
                    <xdr:col>3</xdr:col>
                    <xdr:colOff>381000</xdr:colOff>
                    <xdr:row>15</xdr:row>
                    <xdr:rowOff>38100</xdr:rowOff>
                  </from>
                  <to>
                    <xdr:col>4</xdr:col>
                    <xdr:colOff>937260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7490C-3A83-4CBE-A9C4-1A8BF8623FBF}">
  <sheetPr codeName="Sheet5"/>
  <dimension ref="A2:O123"/>
  <sheetViews>
    <sheetView zoomScale="80" zoomScaleNormal="80" workbookViewId="0">
      <selection activeCell="F28" sqref="F28"/>
    </sheetView>
  </sheetViews>
  <sheetFormatPr defaultColWidth="11" defaultRowHeight="15.6"/>
  <cols>
    <col min="1" max="2" width="15.75" customWidth="1"/>
    <col min="3" max="3" width="16.75" customWidth="1"/>
    <col min="4" max="4" width="13.75" customWidth="1"/>
    <col min="5" max="5" width="17.25" customWidth="1"/>
    <col min="6" max="6" width="15.25" customWidth="1"/>
    <col min="7" max="7" width="17.75" customWidth="1"/>
    <col min="8" max="8" width="21.25" customWidth="1"/>
    <col min="10" max="10" width="14.25" customWidth="1"/>
    <col min="11" max="11" width="17.75" customWidth="1"/>
  </cols>
  <sheetData>
    <row r="2" spans="1:15" ht="18">
      <c r="B2" s="1" t="s">
        <v>10</v>
      </c>
      <c r="C2" s="1"/>
      <c r="D2" s="1"/>
      <c r="E2" s="1"/>
      <c r="F2" s="1"/>
      <c r="G2" s="1"/>
      <c r="H2" s="1"/>
      <c r="K2" s="1" t="s">
        <v>11</v>
      </c>
      <c r="L2" s="2"/>
      <c r="M2" s="2"/>
      <c r="N2" s="2"/>
      <c r="O2" s="2"/>
    </row>
    <row r="3" spans="1:15" ht="16.149999999999999" thickBot="1">
      <c r="K3" s="3" t="s">
        <v>12</v>
      </c>
      <c r="L3" s="4"/>
      <c r="M3" s="5"/>
      <c r="N3" s="3" t="s">
        <v>13</v>
      </c>
      <c r="O3" s="4"/>
    </row>
    <row r="4" spans="1:15" ht="21.6" thickBot="1">
      <c r="A4" s="64" t="s">
        <v>14</v>
      </c>
      <c r="B4" s="64"/>
      <c r="C4" s="64"/>
      <c r="K4" s="6" t="s">
        <v>15</v>
      </c>
      <c r="L4" s="6"/>
      <c r="M4" s="5"/>
      <c r="N4" s="19" t="s">
        <v>16</v>
      </c>
      <c r="O4" s="19" t="s">
        <v>17</v>
      </c>
    </row>
    <row r="5" spans="1:15">
      <c r="A5" s="17" t="s">
        <v>18</v>
      </c>
      <c r="B5" s="17" t="s">
        <v>19</v>
      </c>
      <c r="C5" s="17" t="s">
        <v>20</v>
      </c>
      <c r="F5" s="3"/>
      <c r="G5" s="4" t="s">
        <v>21</v>
      </c>
      <c r="H5" s="3"/>
      <c r="K5" s="20" t="s">
        <v>22</v>
      </c>
      <c r="L5" s="20"/>
      <c r="N5">
        <v>10</v>
      </c>
      <c r="O5">
        <v>0</v>
      </c>
    </row>
    <row r="6" spans="1:15">
      <c r="A6" s="18" t="s">
        <v>23</v>
      </c>
      <c r="B6" s="21">
        <v>677</v>
      </c>
      <c r="C6" s="16">
        <v>48</v>
      </c>
      <c r="G6" s="8" t="s">
        <v>24</v>
      </c>
      <c r="H6" s="9">
        <f>AVERAGE(C6:C57)</f>
        <v>27.673076923076923</v>
      </c>
      <c r="N6">
        <v>15</v>
      </c>
      <c r="O6">
        <v>5</v>
      </c>
    </row>
    <row r="7" spans="1:15">
      <c r="A7" s="18" t="s">
        <v>25</v>
      </c>
      <c r="B7" s="21">
        <v>694</v>
      </c>
      <c r="C7" s="16">
        <v>37</v>
      </c>
      <c r="G7" s="8" t="s">
        <v>26</v>
      </c>
      <c r="H7" s="10">
        <f>_xlfn.STDEV.S(C6:C57)</f>
        <v>10.85144095219915</v>
      </c>
      <c r="K7" t="s">
        <v>24</v>
      </c>
      <c r="L7">
        <v>27.21153846153846</v>
      </c>
      <c r="N7">
        <v>20</v>
      </c>
      <c r="O7">
        <v>13</v>
      </c>
    </row>
    <row r="8" spans="1:15">
      <c r="A8" s="18" t="s">
        <v>27</v>
      </c>
      <c r="B8" s="21">
        <v>670</v>
      </c>
      <c r="C8" s="16">
        <v>16</v>
      </c>
      <c r="G8" s="8" t="s">
        <v>28</v>
      </c>
      <c r="H8" s="10">
        <f>MEDIAN(C6:C57)</f>
        <v>25.5</v>
      </c>
      <c r="K8" t="s">
        <v>29</v>
      </c>
      <c r="L8">
        <v>1.4586654106192096</v>
      </c>
      <c r="N8">
        <v>25</v>
      </c>
      <c r="O8">
        <v>9</v>
      </c>
    </row>
    <row r="9" spans="1:15">
      <c r="A9" s="18" t="s">
        <v>30</v>
      </c>
      <c r="B9" s="21">
        <v>688</v>
      </c>
      <c r="C9" s="16">
        <v>18</v>
      </c>
      <c r="G9" s="8" t="s">
        <v>31</v>
      </c>
      <c r="H9" s="10">
        <f>MODE(C6:C57)</f>
        <v>16</v>
      </c>
      <c r="K9" t="s">
        <v>28</v>
      </c>
      <c r="L9">
        <v>25</v>
      </c>
      <c r="N9">
        <v>30</v>
      </c>
      <c r="O9">
        <v>7</v>
      </c>
    </row>
    <row r="10" spans="1:15">
      <c r="A10" s="18" t="s">
        <v>32</v>
      </c>
      <c r="B10" s="21">
        <v>696</v>
      </c>
      <c r="C10" s="16">
        <v>17</v>
      </c>
      <c r="K10" t="s">
        <v>31</v>
      </c>
      <c r="L10">
        <v>16</v>
      </c>
      <c r="N10">
        <v>35</v>
      </c>
      <c r="O10">
        <v>6</v>
      </c>
    </row>
    <row r="11" spans="1:15" ht="16.149999999999999" thickBot="1">
      <c r="A11" s="18" t="s">
        <v>33</v>
      </c>
      <c r="B11" s="21">
        <v>706</v>
      </c>
      <c r="C11" s="16">
        <v>20</v>
      </c>
      <c r="F11" s="3"/>
      <c r="G11" s="4" t="s">
        <v>34</v>
      </c>
      <c r="H11" s="3"/>
      <c r="K11" t="s">
        <v>26</v>
      </c>
      <c r="L11">
        <v>10.518585863466589</v>
      </c>
      <c r="N11" s="11" t="s">
        <v>35</v>
      </c>
      <c r="O11" s="11">
        <v>12</v>
      </c>
    </row>
    <row r="12" spans="1:15">
      <c r="A12" s="18" t="s">
        <v>36</v>
      </c>
      <c r="B12" s="21">
        <v>695</v>
      </c>
      <c r="C12" s="16">
        <v>23</v>
      </c>
      <c r="G12" s="8" t="s">
        <v>37</v>
      </c>
      <c r="H12" s="10">
        <f>_xlfn.PERCENTILE.INC(C6:C57,0.5)</f>
        <v>25.5</v>
      </c>
      <c r="K12" t="s">
        <v>38</v>
      </c>
      <c r="L12">
        <v>110.64064856711917</v>
      </c>
    </row>
    <row r="13" spans="1:15">
      <c r="A13" s="18" t="s">
        <v>39</v>
      </c>
      <c r="B13" s="21">
        <v>703</v>
      </c>
      <c r="C13" s="16">
        <v>19</v>
      </c>
      <c r="G13" s="8" t="s">
        <v>40</v>
      </c>
      <c r="H13" s="10">
        <f>_xlfn.PERCENTILE.EXC(C6:C57,0.9)</f>
        <v>45.7</v>
      </c>
      <c r="K13" t="s">
        <v>41</v>
      </c>
      <c r="L13">
        <v>-0.88315629621381886</v>
      </c>
    </row>
    <row r="14" spans="1:15">
      <c r="A14" s="18" t="s">
        <v>42</v>
      </c>
      <c r="B14" s="21">
        <v>692</v>
      </c>
      <c r="C14" s="16">
        <v>23</v>
      </c>
      <c r="G14" s="8"/>
      <c r="K14" t="s">
        <v>43</v>
      </c>
      <c r="L14">
        <v>0.45206797299276424</v>
      </c>
    </row>
    <row r="15" spans="1:15">
      <c r="A15" s="18" t="s">
        <v>44</v>
      </c>
      <c r="B15" s="21">
        <v>682</v>
      </c>
      <c r="C15" s="16">
        <v>27</v>
      </c>
      <c r="F15" s="3"/>
      <c r="G15" s="4" t="s">
        <v>45</v>
      </c>
      <c r="H15" s="3"/>
      <c r="K15" t="s">
        <v>46</v>
      </c>
      <c r="L15">
        <v>36</v>
      </c>
    </row>
    <row r="16" spans="1:15">
      <c r="A16" s="18" t="s">
        <v>47</v>
      </c>
      <c r="B16" s="21">
        <v>675</v>
      </c>
      <c r="C16" s="16">
        <v>16</v>
      </c>
      <c r="G16" s="8" t="s">
        <v>48</v>
      </c>
      <c r="H16" s="12">
        <f>_xlfn.PERCENTRANK.INC(C6:C57,19)</f>
        <v>0.27400000000000002</v>
      </c>
      <c r="K16" t="s">
        <v>49</v>
      </c>
      <c r="L16">
        <v>12</v>
      </c>
    </row>
    <row r="17" spans="1:12">
      <c r="A17" s="18" t="s">
        <v>50</v>
      </c>
      <c r="B17" s="21">
        <v>693</v>
      </c>
      <c r="C17" s="16">
        <v>23</v>
      </c>
      <c r="G17" s="8" t="s">
        <v>51</v>
      </c>
      <c r="H17" s="12">
        <f>1-_xlfn.PERCENTRANK.INC(C6:C57,19)</f>
        <v>0.72599999999999998</v>
      </c>
      <c r="K17" t="s">
        <v>52</v>
      </c>
      <c r="L17">
        <v>48</v>
      </c>
    </row>
    <row r="18" spans="1:12">
      <c r="A18" s="18" t="s">
        <v>53</v>
      </c>
      <c r="B18" s="21">
        <v>699</v>
      </c>
      <c r="C18" s="16">
        <v>18</v>
      </c>
      <c r="G18" s="8" t="s">
        <v>54</v>
      </c>
      <c r="H18" s="12">
        <f>_xlfn.PERCENTRANK.EXC(C6:C57,31.9)</f>
        <v>0.63400000000000001</v>
      </c>
      <c r="K18" t="s">
        <v>55</v>
      </c>
      <c r="L18">
        <v>1415</v>
      </c>
    </row>
    <row r="19" spans="1:12" ht="16.149999999999999" thickBot="1">
      <c r="A19" s="18" t="s">
        <v>56</v>
      </c>
      <c r="B19" s="21">
        <v>703</v>
      </c>
      <c r="C19" s="16">
        <v>34</v>
      </c>
      <c r="G19" s="8" t="s">
        <v>57</v>
      </c>
      <c r="H19" s="12">
        <f>1-_xlfn.PERCENTRANK.EXC(C6:C57,31.9)</f>
        <v>0.36599999999999999</v>
      </c>
      <c r="K19" s="11" t="s">
        <v>58</v>
      </c>
      <c r="L19" s="11">
        <v>52</v>
      </c>
    </row>
    <row r="20" spans="1:12">
      <c r="A20" s="18" t="s">
        <v>59</v>
      </c>
      <c r="B20" s="21">
        <v>686</v>
      </c>
      <c r="C20" s="16">
        <v>35</v>
      </c>
    </row>
    <row r="21" spans="1:12">
      <c r="A21" s="18" t="s">
        <v>60</v>
      </c>
      <c r="B21" s="21">
        <v>678</v>
      </c>
      <c r="C21" s="16">
        <v>36</v>
      </c>
      <c r="F21" s="4" t="s">
        <v>61</v>
      </c>
      <c r="G21" s="4" t="s">
        <v>62</v>
      </c>
      <c r="H21" s="4" t="s">
        <v>17</v>
      </c>
    </row>
    <row r="22" spans="1:12">
      <c r="A22" s="18" t="s">
        <v>63</v>
      </c>
      <c r="B22" s="21">
        <v>671</v>
      </c>
      <c r="C22" s="16">
        <v>30</v>
      </c>
      <c r="F22">
        <v>0</v>
      </c>
      <c r="G22">
        <v>10</v>
      </c>
      <c r="H22" s="10">
        <f>COUNTIF(C6:C57,"&lt;="&amp;G22)</f>
        <v>0</v>
      </c>
    </row>
    <row r="23" spans="1:12">
      <c r="A23" s="18" t="s">
        <v>64</v>
      </c>
      <c r="B23" s="21">
        <v>688</v>
      </c>
      <c r="C23" s="16">
        <v>25</v>
      </c>
      <c r="F23">
        <v>11</v>
      </c>
      <c r="G23">
        <v>15</v>
      </c>
      <c r="H23" s="10">
        <f>COUNTIFS(C6:C57,"&gt;="&amp;F23,C6:C57,"&lt;="&amp;G23)</f>
        <v>5</v>
      </c>
    </row>
    <row r="24" spans="1:12">
      <c r="A24" s="18" t="s">
        <v>65</v>
      </c>
      <c r="B24" s="21">
        <v>705</v>
      </c>
      <c r="C24" s="16">
        <v>26</v>
      </c>
      <c r="F24">
        <v>16</v>
      </c>
      <c r="G24">
        <v>20</v>
      </c>
      <c r="H24" s="10">
        <f>COUNTIFS(C6:C57,"&gt;="&amp;F24,C6:C57,"&lt;="&amp;G24)</f>
        <v>13</v>
      </c>
    </row>
    <row r="25" spans="1:12">
      <c r="A25" s="18" t="s">
        <v>66</v>
      </c>
      <c r="B25" s="21">
        <v>705</v>
      </c>
      <c r="C25" s="16">
        <v>35</v>
      </c>
      <c r="F25">
        <v>21</v>
      </c>
      <c r="G25">
        <v>25</v>
      </c>
      <c r="H25" s="10">
        <f>COUNTIFS(C6:C57,"&gt;="&amp;F25,C6:C57,"&lt;="&amp;G25)</f>
        <v>8</v>
      </c>
    </row>
    <row r="26" spans="1:12">
      <c r="A26" s="18" t="s">
        <v>67</v>
      </c>
      <c r="B26" s="21">
        <v>673</v>
      </c>
      <c r="C26" s="16">
        <v>30</v>
      </c>
      <c r="F26">
        <v>26</v>
      </c>
      <c r="G26">
        <v>30</v>
      </c>
      <c r="H26" s="10">
        <f>COUNTIFS(C7:C58,"&gt;="&amp;F26,C7:C58,"&lt;="&amp;G26)</f>
        <v>7</v>
      </c>
    </row>
    <row r="27" spans="1:12">
      <c r="A27" s="18" t="s">
        <v>68</v>
      </c>
      <c r="B27" s="21">
        <v>681</v>
      </c>
      <c r="C27" s="16">
        <v>12</v>
      </c>
      <c r="F27">
        <v>31</v>
      </c>
      <c r="G27" s="8">
        <v>35</v>
      </c>
      <c r="H27" s="10">
        <f>COUNTIFS(C8:C59,"&gt;="&amp;F27,C8:C59,"&lt;="&amp;G27)</f>
        <v>6</v>
      </c>
    </row>
    <row r="28" spans="1:12">
      <c r="A28" s="18" t="s">
        <v>69</v>
      </c>
      <c r="B28" s="21">
        <v>674</v>
      </c>
      <c r="C28" s="16">
        <v>33</v>
      </c>
    </row>
    <row r="29" spans="1:12">
      <c r="A29" s="18" t="s">
        <v>70</v>
      </c>
      <c r="B29" s="21">
        <v>675</v>
      </c>
      <c r="C29" s="16">
        <v>44</v>
      </c>
    </row>
    <row r="30" spans="1:12">
      <c r="A30" s="18" t="s">
        <v>71</v>
      </c>
      <c r="B30" s="21">
        <v>683</v>
      </c>
      <c r="C30" s="16">
        <v>24</v>
      </c>
    </row>
    <row r="31" spans="1:12">
      <c r="A31" s="18" t="s">
        <v>72</v>
      </c>
      <c r="B31" s="21">
        <v>689</v>
      </c>
      <c r="C31" s="16">
        <v>25</v>
      </c>
    </row>
    <row r="32" spans="1:12">
      <c r="A32" s="18" t="s">
        <v>73</v>
      </c>
      <c r="B32" s="21">
        <v>707</v>
      </c>
      <c r="C32" s="16">
        <v>46</v>
      </c>
    </row>
    <row r="33" spans="1:3">
      <c r="A33" s="18" t="s">
        <v>74</v>
      </c>
      <c r="B33" s="21">
        <v>707</v>
      </c>
      <c r="C33" s="16">
        <v>33</v>
      </c>
    </row>
    <row r="34" spans="1:3">
      <c r="A34" s="18" t="s">
        <v>75</v>
      </c>
      <c r="B34" s="21">
        <v>693</v>
      </c>
      <c r="C34" s="16">
        <v>38</v>
      </c>
    </row>
    <row r="35" spans="1:3">
      <c r="A35" s="18" t="s">
        <v>76</v>
      </c>
      <c r="B35" s="21">
        <v>677</v>
      </c>
      <c r="C35" s="16">
        <v>48</v>
      </c>
    </row>
    <row r="36" spans="1:3">
      <c r="A36" s="18" t="s">
        <v>77</v>
      </c>
      <c r="B36" s="21">
        <v>687</v>
      </c>
      <c r="C36" s="16">
        <v>40</v>
      </c>
    </row>
    <row r="37" spans="1:3">
      <c r="A37" s="18" t="s">
        <v>78</v>
      </c>
      <c r="B37" s="21">
        <v>687</v>
      </c>
      <c r="C37" s="16">
        <v>22</v>
      </c>
    </row>
    <row r="38" spans="1:3">
      <c r="A38" s="18" t="s">
        <v>79</v>
      </c>
      <c r="B38" s="21">
        <v>686</v>
      </c>
      <c r="C38" s="16">
        <v>15</v>
      </c>
    </row>
    <row r="39" spans="1:3">
      <c r="A39" s="18" t="s">
        <v>80</v>
      </c>
      <c r="B39" s="21">
        <v>696</v>
      </c>
      <c r="C39" s="16">
        <v>22</v>
      </c>
    </row>
    <row r="40" spans="1:3">
      <c r="A40" s="18" t="s">
        <v>81</v>
      </c>
      <c r="B40" s="21">
        <v>703</v>
      </c>
      <c r="C40" s="16">
        <v>16</v>
      </c>
    </row>
    <row r="41" spans="1:3">
      <c r="A41" s="18" t="s">
        <v>82</v>
      </c>
      <c r="B41" s="21">
        <v>670</v>
      </c>
      <c r="C41" s="16">
        <v>19</v>
      </c>
    </row>
    <row r="42" spans="1:3">
      <c r="A42" s="18" t="s">
        <v>83</v>
      </c>
      <c r="B42" s="21">
        <v>702</v>
      </c>
      <c r="C42" s="16">
        <v>13</v>
      </c>
    </row>
    <row r="43" spans="1:3">
      <c r="A43" s="18" t="s">
        <v>84</v>
      </c>
      <c r="B43" s="21">
        <v>705</v>
      </c>
      <c r="C43" s="16">
        <v>19</v>
      </c>
    </row>
    <row r="44" spans="1:3">
      <c r="A44" s="18" t="s">
        <v>85</v>
      </c>
      <c r="B44" s="21">
        <v>685</v>
      </c>
      <c r="C44" s="16">
        <v>16</v>
      </c>
    </row>
    <row r="45" spans="1:3">
      <c r="A45" s="18" t="s">
        <v>86</v>
      </c>
      <c r="B45" s="21">
        <v>670</v>
      </c>
      <c r="C45" s="16">
        <v>16</v>
      </c>
    </row>
    <row r="46" spans="1:3">
      <c r="A46" s="18" t="s">
        <v>87</v>
      </c>
      <c r="B46" s="21">
        <v>674</v>
      </c>
      <c r="C46" s="16">
        <v>13</v>
      </c>
    </row>
    <row r="47" spans="1:3">
      <c r="A47" s="18" t="s">
        <v>88</v>
      </c>
      <c r="B47" s="21">
        <v>705</v>
      </c>
      <c r="C47" s="16">
        <v>37</v>
      </c>
    </row>
    <row r="48" spans="1:3">
      <c r="A48" s="18" t="s">
        <v>89</v>
      </c>
      <c r="B48" s="21">
        <v>689</v>
      </c>
      <c r="C48" s="16">
        <v>33</v>
      </c>
    </row>
    <row r="49" spans="1:14">
      <c r="A49" s="18" t="s">
        <v>90</v>
      </c>
      <c r="B49" s="21">
        <v>674</v>
      </c>
      <c r="C49" s="16">
        <v>47</v>
      </c>
    </row>
    <row r="50" spans="1:14">
      <c r="A50" s="18" t="s">
        <v>91</v>
      </c>
      <c r="B50" s="21">
        <v>670</v>
      </c>
      <c r="C50" s="16">
        <v>41</v>
      </c>
    </row>
    <row r="51" spans="1:14">
      <c r="A51" s="18" t="s">
        <v>92</v>
      </c>
      <c r="B51" s="21">
        <v>706</v>
      </c>
      <c r="C51" s="16">
        <v>29</v>
      </c>
    </row>
    <row r="52" spans="1:14">
      <c r="A52" s="18" t="s">
        <v>93</v>
      </c>
      <c r="B52" s="21">
        <v>703</v>
      </c>
      <c r="C52" s="16">
        <v>13</v>
      </c>
    </row>
    <row r="53" spans="1:14">
      <c r="A53" s="18" t="s">
        <v>94</v>
      </c>
      <c r="B53" s="21">
        <v>694</v>
      </c>
      <c r="C53" s="16">
        <v>30</v>
      </c>
    </row>
    <row r="54" spans="1:14">
      <c r="A54" s="18" t="s">
        <v>95</v>
      </c>
      <c r="B54" s="21">
        <v>671</v>
      </c>
      <c r="C54" s="16">
        <v>45</v>
      </c>
    </row>
    <row r="55" spans="1:14">
      <c r="A55" s="18" t="s">
        <v>96</v>
      </c>
      <c r="B55" s="21">
        <v>696</v>
      </c>
      <c r="C55" s="16">
        <v>17</v>
      </c>
    </row>
    <row r="56" spans="1:14">
      <c r="A56" s="18" t="s">
        <v>97</v>
      </c>
      <c r="B56" s="21">
        <v>691</v>
      </c>
      <c r="C56" s="16">
        <v>30</v>
      </c>
    </row>
    <row r="57" spans="1:14">
      <c r="A57" s="18" t="s">
        <v>98</v>
      </c>
      <c r="B57" s="21">
        <v>677</v>
      </c>
      <c r="C57" s="16">
        <v>47</v>
      </c>
    </row>
    <row r="62" spans="1:14">
      <c r="A62" s="7" t="s">
        <v>18</v>
      </c>
      <c r="B62" s="7" t="s">
        <v>99</v>
      </c>
      <c r="C62" s="7" t="s">
        <v>100</v>
      </c>
      <c r="D62" s="13" t="s">
        <v>101</v>
      </c>
      <c r="E62" s="13" t="s">
        <v>102</v>
      </c>
      <c r="F62" s="13" t="s">
        <v>103</v>
      </c>
      <c r="G62" s="14" t="s">
        <v>104</v>
      </c>
      <c r="H62" s="14" t="s">
        <v>105</v>
      </c>
      <c r="I62" s="14" t="s">
        <v>106</v>
      </c>
      <c r="K62" s="22" t="s">
        <v>107</v>
      </c>
      <c r="L62" s="23" t="s">
        <v>108</v>
      </c>
      <c r="M62" s="23" t="s">
        <v>109</v>
      </c>
      <c r="N62" s="23" t="s">
        <v>110</v>
      </c>
    </row>
    <row r="63" spans="1:14">
      <c r="A63" s="15">
        <v>1</v>
      </c>
      <c r="B63" s="21">
        <f>B6</f>
        <v>677</v>
      </c>
      <c r="C63" s="16">
        <f>C6</f>
        <v>48</v>
      </c>
      <c r="D63" cm="1">
        <f t="array" ref="D63">ROUND(TREND($C$63:$C$114,$B$63:$B$114,B63),2)</f>
        <v>29.57</v>
      </c>
      <c r="E63" cm="1">
        <f t="array" ref="E63">GROWTH($C$63:$C$114,$B$63:$B$114,B63)</f>
        <v>26.97698508493518</v>
      </c>
      <c r="F63">
        <f t="shared" ref="F63:F114" si="0">$L$63*B63^2+$M$63*B63+$N$63</f>
        <v>29.388033543487836</v>
      </c>
      <c r="G63">
        <f>ABS(D63-$C63)</f>
        <v>18.43</v>
      </c>
      <c r="H63">
        <f>ABS(E63-$C63)</f>
        <v>21.02301491506482</v>
      </c>
      <c r="I63">
        <f>ABS(F63-$C63)</f>
        <v>18.611966456512164</v>
      </c>
      <c r="K63" s="24" t="s">
        <v>111</v>
      </c>
      <c r="L63" cm="1">
        <f t="array" ref="L63:N63">LINEST($C$63:$C$114,$B$63:$B$114^{1,2},TRUE,FALSE)</f>
        <v>9.264205972080438E-3</v>
      </c>
      <c r="M63">
        <v>-12.918120435138627</v>
      </c>
      <c r="N63">
        <v>4528.9013091546831</v>
      </c>
    </row>
    <row r="64" spans="1:14">
      <c r="A64" s="15">
        <v>2</v>
      </c>
      <c r="B64" s="21">
        <f>B7</f>
        <v>694</v>
      </c>
      <c r="C64" s="16">
        <f>C7</f>
        <v>37</v>
      </c>
      <c r="D64" cm="1">
        <f t="array" ref="D64">ROUND(TREND($C$63:$C$114,$B$63:$B$114,B64),2)</f>
        <v>26.79</v>
      </c>
      <c r="E64" cm="1">
        <f t="array" ref="E64">GROWTH($C$63:$C$114,$B$63:$B$114,B64)</f>
        <v>24.962947594999207</v>
      </c>
      <c r="F64">
        <f t="shared" si="0"/>
        <v>25.700834737408513</v>
      </c>
      <c r="G64">
        <f t="shared" ref="G64:G114" si="1">ABS(D64-C64)</f>
        <v>10.210000000000001</v>
      </c>
      <c r="H64">
        <f t="shared" ref="H64:I95" si="2">ABS(E64-$C64)</f>
        <v>12.037052405000793</v>
      </c>
      <c r="I64">
        <f t="shared" si="2"/>
        <v>11.299165262591487</v>
      </c>
    </row>
    <row r="65" spans="1:9">
      <c r="A65" s="15">
        <v>3</v>
      </c>
      <c r="B65" s="21">
        <f t="shared" ref="B65:C80" si="3">B8</f>
        <v>670</v>
      </c>
      <c r="C65" s="16">
        <f t="shared" si="3"/>
        <v>16</v>
      </c>
      <c r="D65" cm="1">
        <f t="array" ref="D65">ROUND(TREND($C$63:$C$114,$B$63:$B$114,B65),2)</f>
        <v>30.71</v>
      </c>
      <c r="E65" cm="1">
        <f t="array" ref="E65">GROWTH($C$63:$C$114,$B$63:$B$114,B65)</f>
        <v>27.852800744131596</v>
      </c>
      <c r="F65">
        <f t="shared" si="0"/>
        <v>32.462678478712405</v>
      </c>
      <c r="G65">
        <f t="shared" si="1"/>
        <v>14.71</v>
      </c>
      <c r="H65">
        <f t="shared" si="2"/>
        <v>11.852800744131596</v>
      </c>
      <c r="I65">
        <f t="shared" si="2"/>
        <v>16.462678478712405</v>
      </c>
    </row>
    <row r="66" spans="1:9">
      <c r="A66" s="15">
        <v>4</v>
      </c>
      <c r="B66" s="21">
        <f t="shared" si="3"/>
        <v>688</v>
      </c>
      <c r="C66" s="16">
        <f t="shared" si="3"/>
        <v>18</v>
      </c>
      <c r="D66" cm="1">
        <f t="array" ref="D66">ROUND(TREND($C$63:$C$114,$B$63:$B$114,B66),2)</f>
        <v>27.77</v>
      </c>
      <c r="E66" cm="1">
        <f t="array" ref="E66">GROWTH($C$63:$C$114,$B$63:$B$114,B66)</f>
        <v>25.656010037296294</v>
      </c>
      <c r="F66">
        <f t="shared" si="0"/>
        <v>26.390761427751386</v>
      </c>
      <c r="G66">
        <f t="shared" si="1"/>
        <v>9.77</v>
      </c>
      <c r="H66">
        <f t="shared" si="2"/>
        <v>7.6560100372962943</v>
      </c>
      <c r="I66">
        <f t="shared" si="2"/>
        <v>8.3907614277513858</v>
      </c>
    </row>
    <row r="67" spans="1:9">
      <c r="A67" s="15">
        <v>5</v>
      </c>
      <c r="B67" s="21">
        <f t="shared" si="3"/>
        <v>696</v>
      </c>
      <c r="C67" s="16">
        <f t="shared" si="3"/>
        <v>17</v>
      </c>
      <c r="D67" cm="1">
        <f t="array" ref="D67">ROUND(TREND($C$63:$C$114,$B$63:$B$114,B67),2)</f>
        <v>26.46</v>
      </c>
      <c r="E67" cm="1">
        <f t="array" ref="E67">GROWTH($C$63:$C$114,$B$63:$B$114,B67)</f>
        <v>24.736112518357537</v>
      </c>
      <c r="F67">
        <f t="shared" si="0"/>
        <v>25.619086469516333</v>
      </c>
      <c r="G67">
        <f t="shared" si="1"/>
        <v>9.4600000000000009</v>
      </c>
      <c r="H67">
        <f t="shared" si="2"/>
        <v>7.7361125183575368</v>
      </c>
      <c r="I67">
        <f t="shared" si="2"/>
        <v>8.6190864695163327</v>
      </c>
    </row>
    <row r="68" spans="1:9">
      <c r="A68" s="15">
        <v>6</v>
      </c>
      <c r="B68" s="21">
        <f t="shared" si="3"/>
        <v>706</v>
      </c>
      <c r="C68" s="16">
        <f t="shared" si="3"/>
        <v>20</v>
      </c>
      <c r="D68" cm="1">
        <f t="array" ref="D68">ROUND(TREND($C$63:$C$114,$B$63:$B$114,B68),2)</f>
        <v>24.82</v>
      </c>
      <c r="E68" cm="1">
        <f t="array" ref="E68">GROWTH($C$63:$C$114,$B$63:$B$114,B68)</f>
        <v>23.632483392986366</v>
      </c>
      <c r="F68">
        <f t="shared" si="0"/>
        <v>26.322049846696245</v>
      </c>
      <c r="G68">
        <f t="shared" si="1"/>
        <v>4.82</v>
      </c>
      <c r="H68">
        <f t="shared" si="2"/>
        <v>3.6324833929863658</v>
      </c>
      <c r="I68">
        <f t="shared" si="2"/>
        <v>6.3220498466962454</v>
      </c>
    </row>
    <row r="69" spans="1:9">
      <c r="A69" s="15">
        <v>7</v>
      </c>
      <c r="B69" s="21">
        <f t="shared" si="3"/>
        <v>695</v>
      </c>
      <c r="C69" s="16">
        <f t="shared" si="3"/>
        <v>23</v>
      </c>
      <c r="D69" cm="1">
        <f t="array" ref="D69">ROUND(TREND($C$63:$C$114,$B$63:$B$114,B69),2)</f>
        <v>26.62</v>
      </c>
      <c r="E69" cm="1">
        <f t="array" ref="E69">GROWTH($C$63:$C$114,$B$63:$B$114,B69)</f>
        <v>24.849271226733457</v>
      </c>
      <c r="F69">
        <f t="shared" si="0"/>
        <v>25.650696397491629</v>
      </c>
      <c r="G69">
        <f t="shared" si="1"/>
        <v>3.620000000000001</v>
      </c>
      <c r="H69">
        <f t="shared" si="2"/>
        <v>1.8492712267334568</v>
      </c>
      <c r="I69">
        <f t="shared" si="2"/>
        <v>2.6506963974916289</v>
      </c>
    </row>
    <row r="70" spans="1:9">
      <c r="A70" s="15">
        <v>8</v>
      </c>
      <c r="B70" s="21">
        <f t="shared" si="3"/>
        <v>703</v>
      </c>
      <c r="C70" s="16">
        <f t="shared" si="3"/>
        <v>19</v>
      </c>
      <c r="D70" cm="1">
        <f t="array" ref="D70">ROUND(TREND($C$63:$C$114,$B$63:$B$114,B70),2)</f>
        <v>25.32</v>
      </c>
      <c r="E70" cm="1">
        <f t="array" ref="E70">GROWTH($C$63:$C$114,$B$63:$B$114,B70)</f>
        <v>23.958299368066488</v>
      </c>
      <c r="F70">
        <f t="shared" si="0"/>
        <v>25.916612508129219</v>
      </c>
      <c r="G70">
        <f t="shared" si="1"/>
        <v>6.32</v>
      </c>
      <c r="H70">
        <f t="shared" si="2"/>
        <v>4.9582993680664877</v>
      </c>
      <c r="I70">
        <f t="shared" si="2"/>
        <v>6.9166125081292193</v>
      </c>
    </row>
    <row r="71" spans="1:9">
      <c r="A71" s="15">
        <v>9</v>
      </c>
      <c r="B71" s="21">
        <f t="shared" si="3"/>
        <v>692</v>
      </c>
      <c r="C71" s="16">
        <f t="shared" si="3"/>
        <v>23</v>
      </c>
      <c r="D71" cm="1">
        <f t="array" ref="D71">ROUND(TREND($C$63:$C$114,$B$63:$B$114,B71),2)</f>
        <v>27.11</v>
      </c>
      <c r="E71" cm="1">
        <f t="array" ref="E71">GROWTH($C$63:$C$114,$B$63:$B$114,B71)</f>
        <v>25.19186279445551</v>
      </c>
      <c r="F71">
        <f t="shared" si="0"/>
        <v>25.85669665307978</v>
      </c>
      <c r="G71">
        <f t="shared" si="1"/>
        <v>4.1099999999999994</v>
      </c>
      <c r="H71">
        <f t="shared" si="2"/>
        <v>2.1918627944555098</v>
      </c>
      <c r="I71">
        <f t="shared" si="2"/>
        <v>2.8566966530797799</v>
      </c>
    </row>
    <row r="72" spans="1:9">
      <c r="A72" s="15">
        <v>10</v>
      </c>
      <c r="B72" s="21">
        <f t="shared" si="3"/>
        <v>682</v>
      </c>
      <c r="C72" s="16">
        <f t="shared" si="3"/>
        <v>27</v>
      </c>
      <c r="D72" cm="1">
        <f t="array" ref="D72">ROUND(TREND($C$63:$C$114,$B$63:$B$114,B72),2)</f>
        <v>28.75</v>
      </c>
      <c r="E72" cm="1">
        <f t="array" ref="E72">GROWTH($C$63:$C$114,$B$63:$B$114,B72)</f>
        <v>26.368314419956992</v>
      </c>
      <c r="F72">
        <f t="shared" si="0"/>
        <v>27.747710948081476</v>
      </c>
      <c r="G72">
        <f t="shared" si="1"/>
        <v>1.75</v>
      </c>
      <c r="H72">
        <f t="shared" si="2"/>
        <v>0.63168558004300834</v>
      </c>
      <c r="I72">
        <f t="shared" si="2"/>
        <v>0.74771094808147609</v>
      </c>
    </row>
    <row r="73" spans="1:9">
      <c r="A73" s="15">
        <v>11</v>
      </c>
      <c r="B73" s="21">
        <f t="shared" si="3"/>
        <v>675</v>
      </c>
      <c r="C73" s="16">
        <f t="shared" si="3"/>
        <v>16</v>
      </c>
      <c r="D73" cm="1">
        <f t="array" ref="D73">ROUND(TREND($C$63:$C$114,$B$63:$B$114,B73),2)</f>
        <v>29.89</v>
      </c>
      <c r="E73" cm="1">
        <f t="array" ref="E73">GROWTH($C$63:$C$114,$B$63:$B$114,B73)</f>
        <v>27.224369409159962</v>
      </c>
      <c r="F73">
        <f t="shared" si="0"/>
        <v>30.173861465258597</v>
      </c>
      <c r="G73">
        <f t="shared" si="1"/>
        <v>13.89</v>
      </c>
      <c r="H73">
        <f t="shared" si="2"/>
        <v>11.224369409159962</v>
      </c>
      <c r="I73">
        <f t="shared" si="2"/>
        <v>14.173861465258597</v>
      </c>
    </row>
    <row r="74" spans="1:9">
      <c r="A74" s="15">
        <v>12</v>
      </c>
      <c r="B74" s="21">
        <f t="shared" si="3"/>
        <v>693</v>
      </c>
      <c r="C74" s="16">
        <f t="shared" si="3"/>
        <v>23</v>
      </c>
      <c r="D74" cm="1">
        <f t="array" ref="D74">ROUND(TREND($C$63:$C$114,$B$63:$B$114,B74),2)</f>
        <v>26.95</v>
      </c>
      <c r="E74" cm="1">
        <f t="array" ref="E74">GROWTH($C$63:$C$114,$B$63:$B$114,B74)</f>
        <v>25.077143991260304</v>
      </c>
      <c r="F74">
        <f t="shared" si="0"/>
        <v>25.769501489272443</v>
      </c>
      <c r="G74">
        <f t="shared" si="1"/>
        <v>3.9499999999999993</v>
      </c>
      <c r="H74">
        <f t="shared" si="2"/>
        <v>2.0771439912603036</v>
      </c>
      <c r="I74">
        <f t="shared" si="2"/>
        <v>2.769501489272443</v>
      </c>
    </row>
    <row r="75" spans="1:9">
      <c r="A75" s="15">
        <v>13</v>
      </c>
      <c r="B75" s="21">
        <f t="shared" si="3"/>
        <v>699</v>
      </c>
      <c r="C75" s="16">
        <f t="shared" si="3"/>
        <v>18</v>
      </c>
      <c r="D75" cm="1">
        <f t="array" ref="D75">ROUND(TREND($C$63:$C$114,$B$63:$B$114,B75),2)</f>
        <v>25.97</v>
      </c>
      <c r="E75" cm="1">
        <f t="array" ref="E75">GROWTH($C$63:$C$114,$B$63:$B$114,B75)</f>
        <v>24.39971883297758</v>
      </c>
      <c r="F75">
        <f t="shared" si="0"/>
        <v>25.635427157256345</v>
      </c>
      <c r="G75">
        <f t="shared" si="1"/>
        <v>7.9699999999999989</v>
      </c>
      <c r="H75">
        <f t="shared" si="2"/>
        <v>6.3997188329775803</v>
      </c>
      <c r="I75">
        <f t="shared" si="2"/>
        <v>7.6354271572563448</v>
      </c>
    </row>
    <row r="76" spans="1:9">
      <c r="A76" s="15">
        <v>14</v>
      </c>
      <c r="B76" s="21">
        <f t="shared" si="3"/>
        <v>703</v>
      </c>
      <c r="C76" s="16">
        <f t="shared" si="3"/>
        <v>34</v>
      </c>
      <c r="D76" cm="1">
        <f t="array" ref="D76">ROUND(TREND($C$63:$C$114,$B$63:$B$114,B76),2)</f>
        <v>25.32</v>
      </c>
      <c r="E76" cm="1">
        <f t="array" ref="E76">GROWTH($C$63:$C$114,$B$63:$B$114,B76)</f>
        <v>23.958299368066488</v>
      </c>
      <c r="F76">
        <f t="shared" si="0"/>
        <v>25.916612508129219</v>
      </c>
      <c r="G76">
        <f t="shared" si="1"/>
        <v>8.68</v>
      </c>
      <c r="H76">
        <f t="shared" si="2"/>
        <v>10.041700631933512</v>
      </c>
      <c r="I76">
        <f t="shared" si="2"/>
        <v>8.0833874918707807</v>
      </c>
    </row>
    <row r="77" spans="1:9">
      <c r="A77" s="15">
        <v>15</v>
      </c>
      <c r="B77" s="21">
        <f t="shared" si="3"/>
        <v>686</v>
      </c>
      <c r="C77" s="16">
        <f t="shared" si="3"/>
        <v>35</v>
      </c>
      <c r="D77" cm="1">
        <f t="array" ref="D77">ROUND(TREND($C$63:$C$114,$B$63:$B$114,B77),2)</f>
        <v>28.09</v>
      </c>
      <c r="E77" cm="1">
        <f t="array" ref="E77">GROWTH($C$63:$C$114,$B$63:$B$114,B77)</f>
        <v>25.891280757334069</v>
      </c>
      <c r="F77">
        <f t="shared" si="0"/>
        <v>26.768964286749906</v>
      </c>
      <c r="G77">
        <f t="shared" si="1"/>
        <v>6.91</v>
      </c>
      <c r="H77">
        <f t="shared" si="2"/>
        <v>9.1087192426659307</v>
      </c>
      <c r="I77">
        <f t="shared" si="2"/>
        <v>8.231035713250094</v>
      </c>
    </row>
    <row r="78" spans="1:9">
      <c r="A78" s="15">
        <v>16</v>
      </c>
      <c r="B78" s="21">
        <f t="shared" si="3"/>
        <v>678</v>
      </c>
      <c r="C78" s="16">
        <f t="shared" si="3"/>
        <v>36</v>
      </c>
      <c r="D78" cm="1">
        <f t="array" ref="D78">ROUND(TREND($C$63:$C$114,$B$63:$B$114,B78),2)</f>
        <v>29.4</v>
      </c>
      <c r="E78" cm="1">
        <f t="array" ref="E78">GROWTH($C$63:$C$114,$B$63:$B$114,B78)</f>
        <v>26.854137184880731</v>
      </c>
      <c r="F78">
        <f t="shared" si="0"/>
        <v>29.022912200517567</v>
      </c>
      <c r="G78">
        <f t="shared" si="1"/>
        <v>6.6000000000000014</v>
      </c>
      <c r="H78">
        <f t="shared" si="2"/>
        <v>9.1458628151192691</v>
      </c>
      <c r="I78">
        <f t="shared" si="2"/>
        <v>6.9770877994824332</v>
      </c>
    </row>
    <row r="79" spans="1:9">
      <c r="A79" s="15">
        <v>17</v>
      </c>
      <c r="B79" s="21">
        <f t="shared" si="3"/>
        <v>671</v>
      </c>
      <c r="C79" s="16">
        <f t="shared" si="3"/>
        <v>30</v>
      </c>
      <c r="D79" cm="1">
        <f t="array" ref="D79">ROUND(TREND($C$63:$C$114,$B$63:$B$114,B79),2)</f>
        <v>30.55</v>
      </c>
      <c r="E79" cm="1">
        <f t="array" ref="E79">GROWTH($C$63:$C$114,$B$63:$B$114,B79)</f>
        <v>27.725964551307289</v>
      </c>
      <c r="F79">
        <f t="shared" si="0"/>
        <v>31.967858252132828</v>
      </c>
      <c r="G79">
        <f t="shared" si="1"/>
        <v>0.55000000000000071</v>
      </c>
      <c r="H79">
        <f t="shared" si="2"/>
        <v>2.274035448692711</v>
      </c>
      <c r="I79">
        <f t="shared" si="2"/>
        <v>1.9678582521328281</v>
      </c>
    </row>
    <row r="80" spans="1:9">
      <c r="A80" s="15">
        <v>18</v>
      </c>
      <c r="B80" s="21">
        <f t="shared" si="3"/>
        <v>688</v>
      </c>
      <c r="C80" s="16">
        <f t="shared" si="3"/>
        <v>25</v>
      </c>
      <c r="D80" cm="1">
        <f t="array" ref="D80">ROUND(TREND($C$63:$C$114,$B$63:$B$114,B80),2)</f>
        <v>27.77</v>
      </c>
      <c r="E80" cm="1">
        <f t="array" ref="E80">GROWTH($C$63:$C$114,$B$63:$B$114,B80)</f>
        <v>25.656010037296294</v>
      </c>
      <c r="F80">
        <f t="shared" si="0"/>
        <v>26.390761427751386</v>
      </c>
      <c r="G80">
        <f t="shared" si="1"/>
        <v>2.7699999999999996</v>
      </c>
      <c r="H80">
        <f t="shared" si="2"/>
        <v>0.65601003729629426</v>
      </c>
      <c r="I80">
        <f t="shared" si="2"/>
        <v>1.3907614277513858</v>
      </c>
    </row>
    <row r="81" spans="1:9">
      <c r="A81" s="15">
        <v>19</v>
      </c>
      <c r="B81" s="21">
        <f t="shared" ref="B81:C96" si="4">B24</f>
        <v>705</v>
      </c>
      <c r="C81" s="16">
        <f t="shared" si="4"/>
        <v>26</v>
      </c>
      <c r="D81" cm="1">
        <f t="array" ref="D81">ROUND(TREND($C$63:$C$114,$B$63:$B$114,B81),2)</f>
        <v>24.99</v>
      </c>
      <c r="E81" cm="1">
        <f t="array" ref="E81">GROWTH($C$63:$C$114,$B$63:$B$114,B81)</f>
        <v>23.740593399944039</v>
      </c>
      <c r="F81">
        <f t="shared" si="0"/>
        <v>26.168375655230193</v>
      </c>
      <c r="G81">
        <f t="shared" si="1"/>
        <v>1.0100000000000016</v>
      </c>
      <c r="H81">
        <f t="shared" si="2"/>
        <v>2.2594066000559607</v>
      </c>
      <c r="I81">
        <f t="shared" si="2"/>
        <v>0.16837565523019293</v>
      </c>
    </row>
    <row r="82" spans="1:9">
      <c r="A82" s="15">
        <v>20</v>
      </c>
      <c r="B82" s="21">
        <f t="shared" si="4"/>
        <v>705</v>
      </c>
      <c r="C82" s="16">
        <f t="shared" si="4"/>
        <v>35</v>
      </c>
      <c r="D82" cm="1">
        <f t="array" ref="D82">ROUND(TREND($C$63:$C$114,$B$63:$B$114,B82),2)</f>
        <v>24.99</v>
      </c>
      <c r="E82" cm="1">
        <f t="array" ref="E82">GROWTH($C$63:$C$114,$B$63:$B$114,B82)</f>
        <v>23.740593399944039</v>
      </c>
      <c r="F82">
        <f t="shared" si="0"/>
        <v>26.168375655230193</v>
      </c>
      <c r="G82">
        <f t="shared" si="1"/>
        <v>10.010000000000002</v>
      </c>
      <c r="H82">
        <f t="shared" si="2"/>
        <v>11.259406600055961</v>
      </c>
      <c r="I82">
        <f t="shared" si="2"/>
        <v>8.8316243447698071</v>
      </c>
    </row>
    <row r="83" spans="1:9">
      <c r="A83" s="15">
        <v>21</v>
      </c>
      <c r="B83" s="21">
        <f t="shared" si="4"/>
        <v>673</v>
      </c>
      <c r="C83" s="16">
        <f t="shared" si="4"/>
        <v>30</v>
      </c>
      <c r="D83" cm="1">
        <f t="array" ref="D83">ROUND(TREND($C$63:$C$114,$B$63:$B$114,B83),2)</f>
        <v>30.22</v>
      </c>
      <c r="E83" cm="1">
        <f t="array" ref="E83">GROWTH($C$63:$C$114,$B$63:$B$114,B83)</f>
        <v>27.474022296890997</v>
      </c>
      <c r="F83">
        <f t="shared" si="0"/>
        <v>31.033803034807534</v>
      </c>
      <c r="G83">
        <f t="shared" si="1"/>
        <v>0.21999999999999886</v>
      </c>
      <c r="H83">
        <f t="shared" si="2"/>
        <v>2.5259777031090032</v>
      </c>
      <c r="I83">
        <f t="shared" si="2"/>
        <v>1.0338030348075335</v>
      </c>
    </row>
    <row r="84" spans="1:9">
      <c r="A84" s="15">
        <v>22</v>
      </c>
      <c r="B84" s="21">
        <f t="shared" si="4"/>
        <v>681</v>
      </c>
      <c r="C84" s="16">
        <f t="shared" si="4"/>
        <v>12</v>
      </c>
      <c r="D84" cm="1">
        <f t="array" ref="D84">ROUND(TREND($C$63:$C$114,$B$63:$B$114,B84),2)</f>
        <v>28.91</v>
      </c>
      <c r="E84" cm="1">
        <f t="array" ref="E84">GROWTH($C$63:$C$114,$B$63:$B$114,B84)</f>
        <v>26.488939857749521</v>
      </c>
      <c r="F84">
        <f t="shared" si="0"/>
        <v>28.038718643272659</v>
      </c>
      <c r="G84">
        <f t="shared" si="1"/>
        <v>16.91</v>
      </c>
      <c r="H84">
        <f t="shared" si="2"/>
        <v>14.488939857749521</v>
      </c>
      <c r="I84">
        <f t="shared" si="2"/>
        <v>16.038718643272659</v>
      </c>
    </row>
    <row r="85" spans="1:9">
      <c r="A85" s="15">
        <v>23</v>
      </c>
      <c r="B85" s="21">
        <f t="shared" si="4"/>
        <v>674</v>
      </c>
      <c r="C85" s="16">
        <f t="shared" si="4"/>
        <v>33</v>
      </c>
      <c r="D85" cm="1">
        <f t="array" ref="D85">ROUND(TREND($C$63:$C$114,$B$63:$B$114,B85),2)</f>
        <v>30.06</v>
      </c>
      <c r="E85" cm="1">
        <f t="array" ref="E85">GROWTH($C$63:$C$114,$B$63:$B$114,B85)</f>
        <v>27.348910986839279</v>
      </c>
      <c r="F85">
        <f t="shared" si="0"/>
        <v>30.594568044060907</v>
      </c>
      <c r="G85">
        <f t="shared" si="1"/>
        <v>2.9400000000000013</v>
      </c>
      <c r="H85">
        <f t="shared" si="2"/>
        <v>5.6510890131607212</v>
      </c>
      <c r="I85">
        <f t="shared" si="2"/>
        <v>2.4054319559390933</v>
      </c>
    </row>
    <row r="86" spans="1:9">
      <c r="A86" s="15">
        <v>24</v>
      </c>
      <c r="B86" s="21">
        <f t="shared" si="4"/>
        <v>675</v>
      </c>
      <c r="C86" s="16">
        <f t="shared" si="4"/>
        <v>44</v>
      </c>
      <c r="D86" cm="1">
        <f t="array" ref="D86">ROUND(TREND($C$63:$C$114,$B$63:$B$114,B86),2)</f>
        <v>29.89</v>
      </c>
      <c r="E86" cm="1">
        <f t="array" ref="E86">GROWTH($C$63:$C$114,$B$63:$B$114,B86)</f>
        <v>27.224369409159962</v>
      </c>
      <c r="F86">
        <f t="shared" si="0"/>
        <v>30.173861465258597</v>
      </c>
      <c r="G86">
        <f t="shared" si="1"/>
        <v>14.11</v>
      </c>
      <c r="H86">
        <f t="shared" si="2"/>
        <v>16.775630590840038</v>
      </c>
      <c r="I86">
        <f t="shared" si="2"/>
        <v>13.826138534741403</v>
      </c>
    </row>
    <row r="87" spans="1:9">
      <c r="A87" s="15">
        <v>25</v>
      </c>
      <c r="B87" s="21">
        <f t="shared" si="4"/>
        <v>683</v>
      </c>
      <c r="C87" s="16">
        <f t="shared" si="4"/>
        <v>24</v>
      </c>
      <c r="D87" cm="1">
        <f t="array" ref="D87">ROUND(TREND($C$63:$C$114,$B$63:$B$114,B87),2)</f>
        <v>28.58</v>
      </c>
      <c r="E87" cm="1">
        <f t="array" ref="E87">GROWTH($C$63:$C$114,$B$63:$B$114,B87)</f>
        <v>26.248238286754255</v>
      </c>
      <c r="F87">
        <f t="shared" si="0"/>
        <v>27.475231664832791</v>
      </c>
      <c r="G87">
        <f t="shared" si="1"/>
        <v>4.5799999999999983</v>
      </c>
      <c r="H87">
        <f t="shared" si="2"/>
        <v>2.2482382867542547</v>
      </c>
      <c r="I87">
        <f t="shared" si="2"/>
        <v>3.4752316648327906</v>
      </c>
    </row>
    <row r="88" spans="1:9">
      <c r="A88" s="15">
        <v>26</v>
      </c>
      <c r="B88" s="21">
        <f t="shared" si="4"/>
        <v>689</v>
      </c>
      <c r="C88" s="16">
        <f t="shared" si="4"/>
        <v>25</v>
      </c>
      <c r="D88" cm="1">
        <f t="array" ref="D88">ROUND(TREND($C$63:$C$114,$B$63:$B$114,B88),2)</f>
        <v>27.6</v>
      </c>
      <c r="E88" cm="1">
        <f t="array" ref="E88">GROWTH($C$63:$C$114,$B$63:$B$114,B88)</f>
        <v>25.539177598573648</v>
      </c>
      <c r="F88">
        <f t="shared" si="0"/>
        <v>26.229452616166782</v>
      </c>
      <c r="G88">
        <f t="shared" si="1"/>
        <v>2.6000000000000014</v>
      </c>
      <c r="H88">
        <f t="shared" si="2"/>
        <v>0.539177598573648</v>
      </c>
      <c r="I88">
        <f t="shared" si="2"/>
        <v>1.2294526161667818</v>
      </c>
    </row>
    <row r="89" spans="1:9">
      <c r="A89" s="15">
        <v>27</v>
      </c>
      <c r="B89" s="21">
        <f t="shared" si="4"/>
        <v>707</v>
      </c>
      <c r="C89" s="16">
        <f t="shared" si="4"/>
        <v>46</v>
      </c>
      <c r="D89" cm="1">
        <f t="array" ref="D89">ROUND(TREND($C$63:$C$114,$B$63:$B$114,B89),2)</f>
        <v>24.66</v>
      </c>
      <c r="E89" cm="1">
        <f t="array" ref="E89">GROWTH($C$63:$C$114,$B$63:$B$114,B89)</f>
        <v>23.524865697800667</v>
      </c>
      <c r="F89">
        <f t="shared" si="0"/>
        <v>26.494252450109343</v>
      </c>
      <c r="G89">
        <f t="shared" si="1"/>
        <v>21.34</v>
      </c>
      <c r="H89">
        <f t="shared" si="2"/>
        <v>22.475134302199333</v>
      </c>
      <c r="I89">
        <f t="shared" si="2"/>
        <v>19.505747549890657</v>
      </c>
    </row>
    <row r="90" spans="1:9">
      <c r="A90" s="15">
        <v>28</v>
      </c>
      <c r="B90" s="21">
        <f t="shared" si="4"/>
        <v>707</v>
      </c>
      <c r="C90" s="16">
        <f t="shared" si="4"/>
        <v>33</v>
      </c>
      <c r="D90" cm="1">
        <f t="array" ref="D90">ROUND(TREND($C$63:$C$114,$B$63:$B$114,B90),2)</f>
        <v>24.66</v>
      </c>
      <c r="E90" cm="1">
        <f t="array" ref="E90">GROWTH($C$63:$C$114,$B$63:$B$114,B90)</f>
        <v>23.524865697800667</v>
      </c>
      <c r="F90">
        <f t="shared" si="0"/>
        <v>26.494252450109343</v>
      </c>
      <c r="G90">
        <f t="shared" si="1"/>
        <v>8.34</v>
      </c>
      <c r="H90">
        <f t="shared" si="2"/>
        <v>9.4751343021993328</v>
      </c>
      <c r="I90">
        <f t="shared" si="2"/>
        <v>6.505747549890657</v>
      </c>
    </row>
    <row r="91" spans="1:9">
      <c r="A91" s="15">
        <v>29</v>
      </c>
      <c r="B91" s="21">
        <f t="shared" si="4"/>
        <v>693</v>
      </c>
      <c r="C91" s="16">
        <f t="shared" si="4"/>
        <v>38</v>
      </c>
      <c r="D91" cm="1">
        <f t="array" ref="D91">ROUND(TREND($C$63:$C$114,$B$63:$B$114,B91),2)</f>
        <v>26.95</v>
      </c>
      <c r="E91" cm="1">
        <f t="array" ref="E91">GROWTH($C$63:$C$114,$B$63:$B$114,B91)</f>
        <v>25.077143991260304</v>
      </c>
      <c r="F91">
        <f t="shared" si="0"/>
        <v>25.769501489272443</v>
      </c>
      <c r="G91">
        <f t="shared" si="1"/>
        <v>11.05</v>
      </c>
      <c r="H91">
        <f t="shared" si="2"/>
        <v>12.922856008739696</v>
      </c>
      <c r="I91">
        <f t="shared" si="2"/>
        <v>12.230498510727557</v>
      </c>
    </row>
    <row r="92" spans="1:9">
      <c r="A92" s="15">
        <v>30</v>
      </c>
      <c r="B92" s="21">
        <f t="shared" si="4"/>
        <v>677</v>
      </c>
      <c r="C92" s="16">
        <f t="shared" si="4"/>
        <v>48</v>
      </c>
      <c r="D92" cm="1">
        <f t="array" ref="D92">ROUND(TREND($C$63:$C$114,$B$63:$B$114,B92),2)</f>
        <v>29.57</v>
      </c>
      <c r="E92" cm="1">
        <f t="array" ref="E92">GROWTH($C$63:$C$114,$B$63:$B$114,B92)</f>
        <v>26.97698508493518</v>
      </c>
      <c r="F92">
        <f t="shared" si="0"/>
        <v>29.388033543487836</v>
      </c>
      <c r="G92">
        <f t="shared" si="1"/>
        <v>18.43</v>
      </c>
      <c r="H92">
        <f t="shared" si="2"/>
        <v>21.02301491506482</v>
      </c>
      <c r="I92">
        <f t="shared" si="2"/>
        <v>18.611966456512164</v>
      </c>
    </row>
    <row r="93" spans="1:9">
      <c r="A93" s="15">
        <v>31</v>
      </c>
      <c r="B93" s="21">
        <f t="shared" si="4"/>
        <v>687</v>
      </c>
      <c r="C93" s="16">
        <f t="shared" si="4"/>
        <v>40</v>
      </c>
      <c r="D93" cm="1">
        <f t="array" ref="D93">ROUND(TREND($C$63:$C$114,$B$63:$B$114,B93),2)</f>
        <v>27.93</v>
      </c>
      <c r="E93" cm="1">
        <f t="array" ref="E93">GROWTH($C$63:$C$114,$B$63:$B$114,B93)</f>
        <v>25.773376941887513</v>
      </c>
      <c r="F93">
        <f t="shared" si="0"/>
        <v>26.570598651277578</v>
      </c>
      <c r="G93">
        <f t="shared" si="1"/>
        <v>12.07</v>
      </c>
      <c r="H93">
        <f t="shared" si="2"/>
        <v>14.226623058112487</v>
      </c>
      <c r="I93">
        <f t="shared" si="2"/>
        <v>13.429401348722422</v>
      </c>
    </row>
    <row r="94" spans="1:9">
      <c r="A94" s="15">
        <v>32</v>
      </c>
      <c r="B94" s="21">
        <f t="shared" si="4"/>
        <v>687</v>
      </c>
      <c r="C94" s="16">
        <f t="shared" si="4"/>
        <v>22</v>
      </c>
      <c r="D94" cm="1">
        <f t="array" ref="D94">ROUND(TREND($C$63:$C$114,$B$63:$B$114,B94),2)</f>
        <v>27.93</v>
      </c>
      <c r="E94" cm="1">
        <f t="array" ref="E94">GROWTH($C$63:$C$114,$B$63:$B$114,B94)</f>
        <v>25.773376941887513</v>
      </c>
      <c r="F94">
        <f t="shared" si="0"/>
        <v>26.570598651277578</v>
      </c>
      <c r="G94">
        <f t="shared" si="1"/>
        <v>5.93</v>
      </c>
      <c r="H94">
        <f t="shared" si="2"/>
        <v>3.7733769418875127</v>
      </c>
      <c r="I94">
        <f t="shared" si="2"/>
        <v>4.570598651277578</v>
      </c>
    </row>
    <row r="95" spans="1:9">
      <c r="A95" s="15">
        <v>33</v>
      </c>
      <c r="B95" s="21">
        <f t="shared" si="4"/>
        <v>686</v>
      </c>
      <c r="C95" s="16">
        <f t="shared" si="4"/>
        <v>15</v>
      </c>
      <c r="D95" cm="1">
        <f t="array" ref="D95">ROUND(TREND($C$63:$C$114,$B$63:$B$114,B95),2)</f>
        <v>28.09</v>
      </c>
      <c r="E95" cm="1">
        <f t="array" ref="E95">GROWTH($C$63:$C$114,$B$63:$B$114,B95)</f>
        <v>25.891280757334069</v>
      </c>
      <c r="F95">
        <f t="shared" si="0"/>
        <v>26.768964286749906</v>
      </c>
      <c r="G95">
        <f t="shared" si="1"/>
        <v>13.09</v>
      </c>
      <c r="H95">
        <f t="shared" si="2"/>
        <v>10.891280757334069</v>
      </c>
      <c r="I95">
        <f t="shared" si="2"/>
        <v>11.768964286749906</v>
      </c>
    </row>
    <row r="96" spans="1:9">
      <c r="A96" s="15">
        <v>34</v>
      </c>
      <c r="B96" s="21">
        <f t="shared" si="4"/>
        <v>696</v>
      </c>
      <c r="C96" s="16">
        <f t="shared" si="4"/>
        <v>22</v>
      </c>
      <c r="D96" cm="1">
        <f t="array" ref="D96">ROUND(TREND($C$63:$C$114,$B$63:$B$114,B96),2)</f>
        <v>26.46</v>
      </c>
      <c r="E96" cm="1">
        <f t="array" ref="E96">GROWTH($C$63:$C$114,$B$63:$B$114,B96)</f>
        <v>24.736112518357537</v>
      </c>
      <c r="F96">
        <f t="shared" si="0"/>
        <v>25.619086469516333</v>
      </c>
      <c r="G96">
        <f t="shared" si="1"/>
        <v>4.4600000000000009</v>
      </c>
      <c r="H96">
        <f t="shared" ref="H96:I114" si="5">ABS(E96-$C96)</f>
        <v>2.7361125183575368</v>
      </c>
      <c r="I96">
        <f t="shared" si="5"/>
        <v>3.6190864695163327</v>
      </c>
    </row>
    <row r="97" spans="1:9">
      <c r="A97" s="15">
        <v>35</v>
      </c>
      <c r="B97" s="21">
        <f t="shared" ref="B97:C112" si="6">B40</f>
        <v>703</v>
      </c>
      <c r="C97" s="16">
        <f t="shared" si="6"/>
        <v>16</v>
      </c>
      <c r="D97" cm="1">
        <f t="array" ref="D97">ROUND(TREND($C$63:$C$114,$B$63:$B$114,B97),2)</f>
        <v>25.32</v>
      </c>
      <c r="E97" cm="1">
        <f t="array" ref="E97">GROWTH($C$63:$C$114,$B$63:$B$114,B97)</f>
        <v>23.958299368066488</v>
      </c>
      <c r="F97">
        <f t="shared" si="0"/>
        <v>25.916612508129219</v>
      </c>
      <c r="G97">
        <f t="shared" si="1"/>
        <v>9.32</v>
      </c>
      <c r="H97">
        <f t="shared" si="5"/>
        <v>7.9582993680664877</v>
      </c>
      <c r="I97">
        <f t="shared" si="5"/>
        <v>9.9166125081292193</v>
      </c>
    </row>
    <row r="98" spans="1:9">
      <c r="A98" s="15">
        <v>36</v>
      </c>
      <c r="B98" s="21">
        <f t="shared" si="6"/>
        <v>670</v>
      </c>
      <c r="C98" s="16">
        <f t="shared" si="6"/>
        <v>19</v>
      </c>
      <c r="D98" cm="1">
        <f t="array" ref="D98">ROUND(TREND($C$63:$C$114,$B$63:$B$114,B98),2)</f>
        <v>30.71</v>
      </c>
      <c r="E98" cm="1">
        <f t="array" ref="E98">GROWTH($C$63:$C$114,$B$63:$B$114,B98)</f>
        <v>27.852800744131596</v>
      </c>
      <c r="F98">
        <f t="shared" si="0"/>
        <v>32.462678478712405</v>
      </c>
      <c r="G98">
        <f t="shared" si="1"/>
        <v>11.71</v>
      </c>
      <c r="H98">
        <f t="shared" si="5"/>
        <v>8.8528007441315957</v>
      </c>
      <c r="I98">
        <f t="shared" si="5"/>
        <v>13.462678478712405</v>
      </c>
    </row>
    <row r="99" spans="1:9">
      <c r="A99" s="15">
        <v>37</v>
      </c>
      <c r="B99" s="21">
        <f t="shared" si="6"/>
        <v>702</v>
      </c>
      <c r="C99" s="16">
        <f t="shared" si="6"/>
        <v>13</v>
      </c>
      <c r="D99" cm="1">
        <f t="array" ref="D99">ROUND(TREND($C$63:$C$114,$B$63:$B$114,B99),2)</f>
        <v>25.48</v>
      </c>
      <c r="E99" cm="1">
        <f t="array" ref="E99">GROWTH($C$63:$C$114,$B$63:$B$114,B99)</f>
        <v>24.067899864480861</v>
      </c>
      <c r="F99">
        <f t="shared" si="0"/>
        <v>25.818523552495208</v>
      </c>
      <c r="G99">
        <f t="shared" si="1"/>
        <v>12.48</v>
      </c>
      <c r="H99">
        <f t="shared" si="5"/>
        <v>11.067899864480861</v>
      </c>
      <c r="I99">
        <f t="shared" si="5"/>
        <v>12.818523552495208</v>
      </c>
    </row>
    <row r="100" spans="1:9">
      <c r="A100" s="15">
        <v>38</v>
      </c>
      <c r="B100" s="21">
        <f t="shared" si="6"/>
        <v>705</v>
      </c>
      <c r="C100" s="16">
        <f t="shared" si="6"/>
        <v>19</v>
      </c>
      <c r="D100" cm="1">
        <f t="array" ref="D100">ROUND(TREND($C$63:$C$114,$B$63:$B$114,B100),2)</f>
        <v>24.99</v>
      </c>
      <c r="E100" cm="1">
        <f t="array" ref="E100">GROWTH($C$63:$C$114,$B$63:$B$114,B100)</f>
        <v>23.740593399944039</v>
      </c>
      <c r="F100">
        <f t="shared" si="0"/>
        <v>26.168375655230193</v>
      </c>
      <c r="G100">
        <f t="shared" si="1"/>
        <v>5.9899999999999984</v>
      </c>
      <c r="H100">
        <f t="shared" si="5"/>
        <v>4.7405933999440393</v>
      </c>
      <c r="I100">
        <f t="shared" si="5"/>
        <v>7.1683756552301929</v>
      </c>
    </row>
    <row r="101" spans="1:9">
      <c r="A101" s="15">
        <v>39</v>
      </c>
      <c r="B101" s="21">
        <f t="shared" si="6"/>
        <v>685</v>
      </c>
      <c r="C101" s="16">
        <f t="shared" si="6"/>
        <v>16</v>
      </c>
      <c r="D101" cm="1">
        <f t="array" ref="D101">ROUND(TREND($C$63:$C$114,$B$63:$B$114,B101),2)</f>
        <v>28.26</v>
      </c>
      <c r="E101" cm="1">
        <f t="array" ref="E101">GROWTH($C$63:$C$114,$B$63:$B$114,B101)</f>
        <v>26.009723939807614</v>
      </c>
      <c r="F101">
        <f t="shared" si="0"/>
        <v>26.985858334166551</v>
      </c>
      <c r="G101">
        <f t="shared" si="1"/>
        <v>12.260000000000002</v>
      </c>
      <c r="H101">
        <f t="shared" si="5"/>
        <v>10.009723939807614</v>
      </c>
      <c r="I101">
        <f t="shared" si="5"/>
        <v>10.985858334166551</v>
      </c>
    </row>
    <row r="102" spans="1:9">
      <c r="A102" s="15">
        <v>40</v>
      </c>
      <c r="B102" s="21">
        <f t="shared" si="6"/>
        <v>670</v>
      </c>
      <c r="C102" s="16">
        <f t="shared" si="6"/>
        <v>16</v>
      </c>
      <c r="D102" cm="1">
        <f t="array" ref="D102">ROUND(TREND($C$63:$C$114,$B$63:$B$114,B102),2)</f>
        <v>30.71</v>
      </c>
      <c r="E102" cm="1">
        <f t="array" ref="E102">GROWTH($C$63:$C$114,$B$63:$B$114,B102)</f>
        <v>27.852800744131596</v>
      </c>
      <c r="F102">
        <f t="shared" si="0"/>
        <v>32.462678478712405</v>
      </c>
      <c r="G102">
        <f t="shared" si="1"/>
        <v>14.71</v>
      </c>
      <c r="H102">
        <f t="shared" si="5"/>
        <v>11.852800744131596</v>
      </c>
      <c r="I102">
        <f t="shared" si="5"/>
        <v>16.462678478712405</v>
      </c>
    </row>
    <row r="103" spans="1:9">
      <c r="A103" s="15">
        <v>41</v>
      </c>
      <c r="B103" s="21">
        <f t="shared" si="6"/>
        <v>674</v>
      </c>
      <c r="C103" s="16">
        <f t="shared" si="6"/>
        <v>13</v>
      </c>
      <c r="D103" cm="1">
        <f t="array" ref="D103">ROUND(TREND($C$63:$C$114,$B$63:$B$114,B103),2)</f>
        <v>30.06</v>
      </c>
      <c r="E103" cm="1">
        <f t="array" ref="E103">GROWTH($C$63:$C$114,$B$63:$B$114,B103)</f>
        <v>27.348910986839279</v>
      </c>
      <c r="F103">
        <f t="shared" si="0"/>
        <v>30.594568044060907</v>
      </c>
      <c r="G103">
        <f t="shared" si="1"/>
        <v>17.059999999999999</v>
      </c>
      <c r="H103">
        <f t="shared" si="5"/>
        <v>14.348910986839279</v>
      </c>
      <c r="I103">
        <f t="shared" si="5"/>
        <v>17.594568044060907</v>
      </c>
    </row>
    <row r="104" spans="1:9">
      <c r="A104" s="15">
        <v>42</v>
      </c>
      <c r="B104" s="21">
        <f t="shared" si="6"/>
        <v>705</v>
      </c>
      <c r="C104" s="16">
        <f t="shared" si="6"/>
        <v>37</v>
      </c>
      <c r="D104" cm="1">
        <f t="array" ref="D104">ROUND(TREND($C$63:$C$114,$B$63:$B$114,B104),2)</f>
        <v>24.99</v>
      </c>
      <c r="E104" cm="1">
        <f t="array" ref="E104">GROWTH($C$63:$C$114,$B$63:$B$114,B104)</f>
        <v>23.740593399944039</v>
      </c>
      <c r="F104">
        <f t="shared" si="0"/>
        <v>26.168375655230193</v>
      </c>
      <c r="G104">
        <f t="shared" si="1"/>
        <v>12.010000000000002</v>
      </c>
      <c r="H104">
        <f t="shared" si="5"/>
        <v>13.259406600055961</v>
      </c>
      <c r="I104">
        <f t="shared" si="5"/>
        <v>10.831624344769807</v>
      </c>
    </row>
    <row r="105" spans="1:9">
      <c r="A105" s="15">
        <v>43</v>
      </c>
      <c r="B105" s="21">
        <f t="shared" si="6"/>
        <v>689</v>
      </c>
      <c r="C105" s="16">
        <f t="shared" si="6"/>
        <v>33</v>
      </c>
      <c r="D105" cm="1">
        <f t="array" ref="D105">ROUND(TREND($C$63:$C$114,$B$63:$B$114,B105),2)</f>
        <v>27.6</v>
      </c>
      <c r="E105" cm="1">
        <f t="array" ref="E105">GROWTH($C$63:$C$114,$B$63:$B$114,B105)</f>
        <v>25.539177598573648</v>
      </c>
      <c r="F105">
        <f t="shared" si="0"/>
        <v>26.229452616166782</v>
      </c>
      <c r="G105">
        <f t="shared" si="1"/>
        <v>5.3999999999999986</v>
      </c>
      <c r="H105">
        <f t="shared" si="5"/>
        <v>7.460822401426352</v>
      </c>
      <c r="I105">
        <f t="shared" si="5"/>
        <v>6.7705473838332182</v>
      </c>
    </row>
    <row r="106" spans="1:9">
      <c r="A106" s="15">
        <v>44</v>
      </c>
      <c r="B106" s="21">
        <f t="shared" si="6"/>
        <v>674</v>
      </c>
      <c r="C106" s="16">
        <f t="shared" si="6"/>
        <v>47</v>
      </c>
      <c r="D106" cm="1">
        <f t="array" ref="D106">ROUND(TREND($C$63:$C$114,$B$63:$B$114,B106),2)</f>
        <v>30.06</v>
      </c>
      <c r="E106" cm="1">
        <f t="array" ref="E106">GROWTH($C$63:$C$114,$B$63:$B$114,B106)</f>
        <v>27.348910986839279</v>
      </c>
      <c r="F106">
        <f t="shared" si="0"/>
        <v>30.594568044060907</v>
      </c>
      <c r="G106">
        <f t="shared" si="1"/>
        <v>16.940000000000001</v>
      </c>
      <c r="H106">
        <f t="shared" si="5"/>
        <v>19.651089013160721</v>
      </c>
      <c r="I106">
        <f t="shared" si="5"/>
        <v>16.405431955939093</v>
      </c>
    </row>
    <row r="107" spans="1:9">
      <c r="A107" s="15">
        <v>45</v>
      </c>
      <c r="B107" s="21">
        <f t="shared" si="6"/>
        <v>670</v>
      </c>
      <c r="C107" s="16">
        <f t="shared" si="6"/>
        <v>41</v>
      </c>
      <c r="D107" cm="1">
        <f t="array" ref="D107">ROUND(TREND($C$63:$C$114,$B$63:$B$114,B107),2)</f>
        <v>30.71</v>
      </c>
      <c r="E107" cm="1">
        <f t="array" ref="E107">GROWTH($C$63:$C$114,$B$63:$B$114,B107)</f>
        <v>27.852800744131596</v>
      </c>
      <c r="F107">
        <f t="shared" si="0"/>
        <v>32.462678478712405</v>
      </c>
      <c r="G107">
        <f t="shared" si="1"/>
        <v>10.29</v>
      </c>
      <c r="H107">
        <f t="shared" si="5"/>
        <v>13.147199255868404</v>
      </c>
      <c r="I107">
        <f t="shared" si="5"/>
        <v>8.5373215212875948</v>
      </c>
    </row>
    <row r="108" spans="1:9">
      <c r="A108" s="15">
        <v>46</v>
      </c>
      <c r="B108" s="21">
        <f t="shared" si="6"/>
        <v>706</v>
      </c>
      <c r="C108" s="16">
        <f t="shared" si="6"/>
        <v>29</v>
      </c>
      <c r="D108" cm="1">
        <f t="array" ref="D108">ROUND(TREND($C$63:$C$114,$B$63:$B$114,B108),2)</f>
        <v>24.82</v>
      </c>
      <c r="E108" cm="1">
        <f t="array" ref="E108">GROWTH($C$63:$C$114,$B$63:$B$114,B108)</f>
        <v>23.632483392986366</v>
      </c>
      <c r="F108">
        <f t="shared" si="0"/>
        <v>26.322049846696245</v>
      </c>
      <c r="G108">
        <f t="shared" si="1"/>
        <v>4.18</v>
      </c>
      <c r="H108">
        <f t="shared" si="5"/>
        <v>5.3675166070136342</v>
      </c>
      <c r="I108">
        <f t="shared" si="5"/>
        <v>2.6779501533037546</v>
      </c>
    </row>
    <row r="109" spans="1:9">
      <c r="A109" s="15">
        <v>47</v>
      </c>
      <c r="B109" s="21">
        <f t="shared" si="6"/>
        <v>703</v>
      </c>
      <c r="C109" s="16">
        <f t="shared" si="6"/>
        <v>13</v>
      </c>
      <c r="D109" cm="1">
        <f t="array" ref="D109">ROUND(TREND($C$63:$C$114,$B$63:$B$114,B109),2)</f>
        <v>25.32</v>
      </c>
      <c r="E109" cm="1">
        <f t="array" ref="E109">GROWTH($C$63:$C$114,$B$63:$B$114,B109)</f>
        <v>23.958299368066488</v>
      </c>
      <c r="F109">
        <f t="shared" si="0"/>
        <v>25.916612508129219</v>
      </c>
      <c r="G109">
        <f t="shared" si="1"/>
        <v>12.32</v>
      </c>
      <c r="H109">
        <f t="shared" si="5"/>
        <v>10.958299368066488</v>
      </c>
      <c r="I109">
        <f t="shared" si="5"/>
        <v>12.916612508129219</v>
      </c>
    </row>
    <row r="110" spans="1:9">
      <c r="A110" s="15">
        <v>48</v>
      </c>
      <c r="B110" s="21">
        <f t="shared" si="6"/>
        <v>694</v>
      </c>
      <c r="C110" s="16">
        <f t="shared" si="6"/>
        <v>30</v>
      </c>
      <c r="D110" cm="1">
        <f t="array" ref="D110">ROUND(TREND($C$63:$C$114,$B$63:$B$114,B110),2)</f>
        <v>26.79</v>
      </c>
      <c r="E110" cm="1">
        <f t="array" ref="E110">GROWTH($C$63:$C$114,$B$63:$B$114,B110)</f>
        <v>24.962947594999207</v>
      </c>
      <c r="F110">
        <f t="shared" si="0"/>
        <v>25.700834737408513</v>
      </c>
      <c r="G110">
        <f t="shared" si="1"/>
        <v>3.2100000000000009</v>
      </c>
      <c r="H110">
        <f t="shared" si="5"/>
        <v>5.037052405000793</v>
      </c>
      <c r="I110">
        <f t="shared" si="5"/>
        <v>4.2991652625914867</v>
      </c>
    </row>
    <row r="111" spans="1:9">
      <c r="A111" s="15">
        <v>49</v>
      </c>
      <c r="B111" s="21">
        <f t="shared" si="6"/>
        <v>671</v>
      </c>
      <c r="C111" s="16">
        <f t="shared" si="6"/>
        <v>45</v>
      </c>
      <c r="D111" cm="1">
        <f t="array" ref="D111">ROUND(TREND($C$63:$C$114,$B$63:$B$114,B111),2)</f>
        <v>30.55</v>
      </c>
      <c r="E111" cm="1">
        <f t="array" ref="E111">GROWTH($C$63:$C$114,$B$63:$B$114,B111)</f>
        <v>27.725964551307289</v>
      </c>
      <c r="F111">
        <f t="shared" si="0"/>
        <v>31.967858252132828</v>
      </c>
      <c r="G111">
        <f t="shared" si="1"/>
        <v>14.45</v>
      </c>
      <c r="H111">
        <f t="shared" si="5"/>
        <v>17.274035448692711</v>
      </c>
      <c r="I111">
        <f t="shared" si="5"/>
        <v>13.032141747867172</v>
      </c>
    </row>
    <row r="112" spans="1:9">
      <c r="A112" s="15">
        <v>50</v>
      </c>
      <c r="B112" s="21">
        <f t="shared" si="6"/>
        <v>696</v>
      </c>
      <c r="C112" s="16">
        <f t="shared" si="6"/>
        <v>17</v>
      </c>
      <c r="D112" cm="1">
        <f t="array" ref="D112">ROUND(TREND($C$63:$C$114,$B$63:$B$114,B112),2)</f>
        <v>26.46</v>
      </c>
      <c r="E112" cm="1">
        <f t="array" ref="E112">GROWTH($C$63:$C$114,$B$63:$B$114,B112)</f>
        <v>24.736112518357537</v>
      </c>
      <c r="F112">
        <f t="shared" si="0"/>
        <v>25.619086469516333</v>
      </c>
      <c r="G112">
        <f t="shared" si="1"/>
        <v>9.4600000000000009</v>
      </c>
      <c r="H112">
        <f t="shared" si="5"/>
        <v>7.7361125183575368</v>
      </c>
      <c r="I112">
        <f t="shared" si="5"/>
        <v>8.6190864695163327</v>
      </c>
    </row>
    <row r="113" spans="1:9">
      <c r="A113" s="15">
        <v>51</v>
      </c>
      <c r="B113" s="21">
        <f t="shared" ref="B113:C114" si="7">B56</f>
        <v>691</v>
      </c>
      <c r="C113" s="16">
        <f t="shared" si="7"/>
        <v>30</v>
      </c>
      <c r="D113" cm="1">
        <f t="array" ref="D113">ROUND(TREND($C$63:$C$114,$B$63:$B$114,B113),2)</f>
        <v>27.28</v>
      </c>
      <c r="E113" cm="1">
        <f t="array" ref="E113">GROWTH($C$63:$C$114,$B$63:$B$114,B113)</f>
        <v>25.307106394406315</v>
      </c>
      <c r="F113">
        <f t="shared" si="0"/>
        <v>25.962420228831434</v>
      </c>
      <c r="G113">
        <f t="shared" si="1"/>
        <v>2.7199999999999989</v>
      </c>
      <c r="H113">
        <f t="shared" si="5"/>
        <v>4.6928936055936852</v>
      </c>
      <c r="I113">
        <f t="shared" si="5"/>
        <v>4.0375797711685664</v>
      </c>
    </row>
    <row r="114" spans="1:9">
      <c r="A114" s="15">
        <v>52</v>
      </c>
      <c r="B114" s="21">
        <f t="shared" si="7"/>
        <v>677</v>
      </c>
      <c r="C114" s="16">
        <f t="shared" si="7"/>
        <v>47</v>
      </c>
      <c r="D114" cm="1">
        <f t="array" ref="D114">ROUND(TREND($C$63:$C$114,$B$63:$B$114,B114),2)</f>
        <v>29.57</v>
      </c>
      <c r="E114" cm="1">
        <f t="array" ref="E114">GROWTH($C$63:$C$114,$B$63:$B$114,B114)</f>
        <v>26.97698508493518</v>
      </c>
      <c r="F114">
        <f t="shared" si="0"/>
        <v>29.388033543487836</v>
      </c>
      <c r="G114">
        <f t="shared" si="1"/>
        <v>17.43</v>
      </c>
      <c r="H114">
        <f t="shared" si="5"/>
        <v>20.02301491506482</v>
      </c>
      <c r="I114">
        <f t="shared" si="5"/>
        <v>17.611966456512164</v>
      </c>
    </row>
    <row r="116" spans="1:9">
      <c r="A116" s="41" t="s">
        <v>112</v>
      </c>
      <c r="B116" s="41"/>
      <c r="C116" s="41"/>
      <c r="D116" s="41"/>
    </row>
    <row r="117" spans="1:9">
      <c r="A117" s="7" t="s">
        <v>113</v>
      </c>
      <c r="B117" s="7" t="s">
        <v>114</v>
      </c>
      <c r="C117" s="7" t="s">
        <v>115</v>
      </c>
      <c r="D117" s="45" t="s">
        <v>116</v>
      </c>
      <c r="E117" s="45" t="s">
        <v>117</v>
      </c>
      <c r="F117" s="45" t="s">
        <v>118</v>
      </c>
    </row>
    <row r="118" spans="1:9">
      <c r="A118" s="42" t="s">
        <v>91</v>
      </c>
      <c r="B118" s="43">
        <v>600</v>
      </c>
      <c r="C118" s="44">
        <f ca="1">OFFSET(C117,1,MATCH(G122,G121:I121,0))</f>
        <v>113.1431980204643</v>
      </c>
      <c r="D118" s="10">
        <f>TREND(C63:C114,B63:B114,B118)</f>
        <v>42.154225317085306</v>
      </c>
      <c r="E118" s="10">
        <f>GROWTH(C63:C114,B63:B114,B118)</f>
        <v>38.33747244141334</v>
      </c>
      <c r="F118" s="51">
        <f>$L$63*(B118)^2 +$M$63*B118 + $N$63</f>
        <v>113.1431980204643</v>
      </c>
    </row>
    <row r="120" spans="1:9">
      <c r="F120" s="14"/>
      <c r="G120" s="14" t="s">
        <v>119</v>
      </c>
      <c r="H120" s="14" t="s">
        <v>120</v>
      </c>
      <c r="I120" s="14" t="s">
        <v>121</v>
      </c>
    </row>
    <row r="121" spans="1:9">
      <c r="F121" s="14" t="s">
        <v>122</v>
      </c>
      <c r="G121" s="10">
        <f>AVERAGE(G63:G114)</f>
        <v>9.1067307692307669</v>
      </c>
      <c r="H121" s="10">
        <f>AVERAGE(H63:H114)</f>
        <v>9.0616543005988053</v>
      </c>
      <c r="I121" s="10">
        <f>AVERAGE(I63:I114)</f>
        <v>8.9520356758521125</v>
      </c>
    </row>
    <row r="122" spans="1:9">
      <c r="F122" s="14" t="s">
        <v>123</v>
      </c>
      <c r="G122" s="46">
        <f>MIN(G121:I121)</f>
        <v>8.9520356758521125</v>
      </c>
      <c r="H122" s="46"/>
      <c r="I122" s="46"/>
    </row>
    <row r="123" spans="1:9">
      <c r="A123" s="15"/>
      <c r="B123" s="47"/>
      <c r="C123" s="15"/>
      <c r="F123" s="14" t="s">
        <v>124</v>
      </c>
      <c r="G123" s="48" t="str">
        <f ca="1">OFFSET(F120,0,MATCH(G122,G121:I121,0))</f>
        <v>Polynomial Error</v>
      </c>
      <c r="H123" s="49"/>
      <c r="I123" s="50"/>
    </row>
  </sheetData>
  <mergeCells count="1">
    <mergeCell ref="A4:C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orecastPeriod">
                <anchor moveWithCells="1" sizeWithCells="1">
                  <from>
                    <xdr:col>3</xdr:col>
                    <xdr:colOff>365760</xdr:colOff>
                    <xdr:row>4</xdr:row>
                    <xdr:rowOff>137160</xdr:rowOff>
                  </from>
                  <to>
                    <xdr:col>4</xdr:col>
                    <xdr:colOff>990600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ackToWelcome">
                <anchor moveWithCells="1" sizeWithCells="1">
                  <from>
                    <xdr:col>3</xdr:col>
                    <xdr:colOff>266700</xdr:colOff>
                    <xdr:row>9</xdr:row>
                    <xdr:rowOff>137160</xdr:rowOff>
                  </from>
                  <to>
                    <xdr:col>4</xdr:col>
                    <xdr:colOff>1120140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EFF5F-2651-455A-9C6B-5B46D100ACD9}">
  <sheetPr codeName="Sheet7"/>
  <dimension ref="A1:M65"/>
  <sheetViews>
    <sheetView zoomScale="71" workbookViewId="0">
      <selection activeCell="R7" sqref="R7"/>
    </sheetView>
  </sheetViews>
  <sheetFormatPr defaultColWidth="8.75" defaultRowHeight="15.6"/>
  <cols>
    <col min="1" max="1" width="17.25" customWidth="1"/>
    <col min="2" max="2" width="18.25" customWidth="1"/>
    <col min="3" max="3" width="18.75" customWidth="1"/>
    <col min="4" max="4" width="11.75" customWidth="1"/>
    <col min="6" max="6" width="9" customWidth="1"/>
    <col min="7" max="7" width="19.25" customWidth="1"/>
    <col min="8" max="8" width="18.75" customWidth="1"/>
    <col min="9" max="9" width="16.25" customWidth="1"/>
    <col min="10" max="10" width="9" customWidth="1"/>
    <col min="11" max="11" width="23" customWidth="1"/>
    <col min="12" max="12" width="15.75" customWidth="1"/>
    <col min="13" max="13" width="9" customWidth="1"/>
  </cols>
  <sheetData>
    <row r="1" spans="1:13">
      <c r="J1" t="s">
        <v>125</v>
      </c>
    </row>
    <row r="5" spans="1:13" ht="21">
      <c r="A5" s="35" t="s">
        <v>126</v>
      </c>
      <c r="B5" s="32" t="s">
        <v>127</v>
      </c>
      <c r="C5" s="32" t="s">
        <v>128</v>
      </c>
      <c r="D5" s="32" t="s">
        <v>129</v>
      </c>
      <c r="G5" s="33" t="s">
        <v>130</v>
      </c>
      <c r="H5" s="33" t="s">
        <v>131</v>
      </c>
      <c r="I5" s="34" t="s">
        <v>132</v>
      </c>
    </row>
    <row r="6" spans="1:13" ht="18">
      <c r="A6" s="37" t="s">
        <v>133</v>
      </c>
      <c r="B6" s="52">
        <v>13</v>
      </c>
      <c r="C6" s="52">
        <v>0</v>
      </c>
      <c r="D6" s="36">
        <f t="shared" ref="D6:D37" si="0">SUM(B6:C6)</f>
        <v>13</v>
      </c>
      <c r="G6" s="56">
        <v>12</v>
      </c>
      <c r="H6" s="57">
        <v>12.5</v>
      </c>
      <c r="I6" s="53">
        <v>13</v>
      </c>
    </row>
    <row r="7" spans="1:13" ht="18">
      <c r="A7" s="38" t="s">
        <v>134</v>
      </c>
      <c r="B7" s="52">
        <v>21</v>
      </c>
      <c r="C7" s="52">
        <v>0</v>
      </c>
      <c r="D7" s="36">
        <f t="shared" si="0"/>
        <v>21</v>
      </c>
      <c r="G7" s="58">
        <v>8</v>
      </c>
      <c r="H7" s="58">
        <v>6.5</v>
      </c>
      <c r="I7" s="54">
        <v>21</v>
      </c>
    </row>
    <row r="8" spans="1:13" ht="18">
      <c r="A8" s="38" t="s">
        <v>135</v>
      </c>
      <c r="B8" s="52">
        <v>0</v>
      </c>
      <c r="C8" s="52">
        <v>29</v>
      </c>
      <c r="D8" s="36">
        <f t="shared" si="0"/>
        <v>29</v>
      </c>
      <c r="G8" s="58">
        <v>13</v>
      </c>
      <c r="H8" s="58">
        <v>10</v>
      </c>
      <c r="I8" s="54">
        <v>29</v>
      </c>
    </row>
    <row r="9" spans="1:13" ht="18">
      <c r="A9" s="38" t="s">
        <v>136</v>
      </c>
      <c r="B9" s="52">
        <v>0</v>
      </c>
      <c r="C9" s="52">
        <v>23</v>
      </c>
      <c r="D9" s="36">
        <f t="shared" si="0"/>
        <v>23</v>
      </c>
      <c r="G9" s="58">
        <v>9</v>
      </c>
      <c r="H9" s="58">
        <v>5.5</v>
      </c>
      <c r="I9" s="54">
        <v>23</v>
      </c>
    </row>
    <row r="10" spans="1:13" ht="23.45">
      <c r="A10" s="38" t="s">
        <v>137</v>
      </c>
      <c r="B10" s="52">
        <v>0</v>
      </c>
      <c r="C10" s="52">
        <v>30</v>
      </c>
      <c r="D10" s="36">
        <f t="shared" si="0"/>
        <v>30</v>
      </c>
      <c r="G10" s="58">
        <v>14</v>
      </c>
      <c r="H10" s="58">
        <v>7</v>
      </c>
      <c r="I10" s="54">
        <v>30</v>
      </c>
      <c r="K10" s="60" t="str">
        <f t="shared" ref="K10:M12" si="1">A63</f>
        <v>Total from Warehouse</v>
      </c>
      <c r="L10" s="30">
        <f t="shared" si="1"/>
        <v>804</v>
      </c>
      <c r="M10" s="30">
        <f t="shared" si="1"/>
        <v>600</v>
      </c>
    </row>
    <row r="11" spans="1:13" ht="24" thickBot="1">
      <c r="A11" s="39" t="s">
        <v>138</v>
      </c>
      <c r="B11" s="52">
        <v>0</v>
      </c>
      <c r="C11" s="52">
        <v>32</v>
      </c>
      <c r="D11" s="36">
        <f t="shared" si="0"/>
        <v>32</v>
      </c>
      <c r="G11" s="58">
        <v>11</v>
      </c>
      <c r="H11" s="58">
        <v>5</v>
      </c>
      <c r="I11" s="54">
        <v>32</v>
      </c>
      <c r="K11" s="61" t="str">
        <f t="shared" si="1"/>
        <v>Available supply</v>
      </c>
      <c r="L11" s="30">
        <f>B64</f>
        <v>1000</v>
      </c>
      <c r="M11" s="30">
        <f t="shared" si="1"/>
        <v>600</v>
      </c>
    </row>
    <row r="12" spans="1:13" ht="24" thickBot="1">
      <c r="A12" s="39" t="s">
        <v>139</v>
      </c>
      <c r="B12" s="52">
        <v>13</v>
      </c>
      <c r="C12" s="52">
        <v>0</v>
      </c>
      <c r="D12" s="36">
        <f t="shared" si="0"/>
        <v>13</v>
      </c>
      <c r="G12" s="58">
        <v>14</v>
      </c>
      <c r="H12" s="58">
        <v>13</v>
      </c>
      <c r="I12" s="54">
        <v>13</v>
      </c>
      <c r="K12" s="61" t="str">
        <f t="shared" si="1"/>
        <v xml:space="preserve">Total cost </v>
      </c>
      <c r="L12" s="63">
        <f>B65</f>
        <v>11901</v>
      </c>
      <c r="M12" s="31"/>
    </row>
    <row r="13" spans="1:13" ht="18">
      <c r="A13" s="39" t="s">
        <v>140</v>
      </c>
      <c r="B13" s="52">
        <v>0</v>
      </c>
      <c r="C13" s="52">
        <v>24</v>
      </c>
      <c r="D13" s="36">
        <f t="shared" si="0"/>
        <v>24</v>
      </c>
      <c r="G13" s="58">
        <v>12</v>
      </c>
      <c r="H13" s="58">
        <v>7</v>
      </c>
      <c r="I13" s="54">
        <v>24</v>
      </c>
      <c r="L13" s="29"/>
      <c r="M13" s="29"/>
    </row>
    <row r="14" spans="1:13" ht="18">
      <c r="A14" s="39" t="s">
        <v>141</v>
      </c>
      <c r="B14" s="52">
        <v>0</v>
      </c>
      <c r="C14" s="52">
        <v>21</v>
      </c>
      <c r="D14" s="36">
        <f t="shared" si="0"/>
        <v>21</v>
      </c>
      <c r="G14" s="58">
        <v>12.5</v>
      </c>
      <c r="H14" s="58">
        <v>8.5</v>
      </c>
      <c r="I14" s="54">
        <v>21</v>
      </c>
    </row>
    <row r="15" spans="1:13" ht="18">
      <c r="A15" s="39" t="s">
        <v>142</v>
      </c>
      <c r="B15" s="52">
        <v>18</v>
      </c>
      <c r="C15" s="52">
        <v>0</v>
      </c>
      <c r="D15" s="36">
        <f t="shared" si="0"/>
        <v>18</v>
      </c>
      <c r="G15" s="58">
        <v>10</v>
      </c>
      <c r="H15" s="58">
        <v>14.5</v>
      </c>
      <c r="I15" s="54">
        <v>18</v>
      </c>
    </row>
    <row r="16" spans="1:13" ht="18">
      <c r="A16" s="39" t="s">
        <v>143</v>
      </c>
      <c r="B16" s="52">
        <v>35</v>
      </c>
      <c r="C16" s="52">
        <v>0</v>
      </c>
      <c r="D16" s="36">
        <f t="shared" si="0"/>
        <v>35</v>
      </c>
      <c r="G16" s="58">
        <v>14.5</v>
      </c>
      <c r="H16" s="58">
        <v>12</v>
      </c>
      <c r="I16" s="54">
        <v>35</v>
      </c>
    </row>
    <row r="17" spans="1:9" ht="18">
      <c r="A17" s="39" t="s">
        <v>144</v>
      </c>
      <c r="B17" s="52">
        <v>0</v>
      </c>
      <c r="C17" s="52">
        <v>41</v>
      </c>
      <c r="D17" s="36">
        <f t="shared" si="0"/>
        <v>41</v>
      </c>
      <c r="G17" s="58">
        <v>11.5</v>
      </c>
      <c r="H17" s="58">
        <v>5.5</v>
      </c>
      <c r="I17" s="54">
        <v>41</v>
      </c>
    </row>
    <row r="18" spans="1:9" ht="18">
      <c r="A18" s="39" t="s">
        <v>145</v>
      </c>
      <c r="B18" s="52">
        <v>15</v>
      </c>
      <c r="C18" s="52">
        <v>0</v>
      </c>
      <c r="D18" s="36">
        <f t="shared" si="0"/>
        <v>15</v>
      </c>
      <c r="G18" s="58">
        <v>9</v>
      </c>
      <c r="H18" s="58">
        <v>6.5</v>
      </c>
      <c r="I18" s="54">
        <v>15</v>
      </c>
    </row>
    <row r="19" spans="1:9" ht="18">
      <c r="A19" s="38" t="s">
        <v>146</v>
      </c>
      <c r="B19" s="52">
        <v>12</v>
      </c>
      <c r="C19" s="52">
        <v>0</v>
      </c>
      <c r="D19" s="36">
        <f t="shared" si="0"/>
        <v>12</v>
      </c>
      <c r="G19" s="58">
        <v>11</v>
      </c>
      <c r="H19" s="58">
        <v>11</v>
      </c>
      <c r="I19" s="54">
        <v>12</v>
      </c>
    </row>
    <row r="20" spans="1:9" ht="18">
      <c r="A20" s="38" t="s">
        <v>147</v>
      </c>
      <c r="B20" s="52">
        <v>15</v>
      </c>
      <c r="C20" s="52">
        <v>0</v>
      </c>
      <c r="D20" s="36">
        <f t="shared" si="0"/>
        <v>15</v>
      </c>
      <c r="G20" s="58">
        <v>5</v>
      </c>
      <c r="H20" s="58">
        <v>11</v>
      </c>
      <c r="I20" s="54">
        <v>15</v>
      </c>
    </row>
    <row r="21" spans="1:9" ht="18">
      <c r="A21" s="38" t="s">
        <v>148</v>
      </c>
      <c r="B21" s="52">
        <v>19</v>
      </c>
      <c r="C21" s="52">
        <v>0</v>
      </c>
      <c r="D21" s="36">
        <f t="shared" si="0"/>
        <v>19</v>
      </c>
      <c r="G21" s="58">
        <v>8</v>
      </c>
      <c r="H21" s="58">
        <v>7.5</v>
      </c>
      <c r="I21" s="54">
        <v>19</v>
      </c>
    </row>
    <row r="22" spans="1:9" ht="18">
      <c r="A22" s="38" t="s">
        <v>149</v>
      </c>
      <c r="B22" s="52">
        <v>20</v>
      </c>
      <c r="C22" s="52">
        <v>0</v>
      </c>
      <c r="D22" s="36">
        <f t="shared" si="0"/>
        <v>20</v>
      </c>
      <c r="G22" s="58">
        <v>11.5</v>
      </c>
      <c r="H22" s="58">
        <v>14.5</v>
      </c>
      <c r="I22" s="54">
        <v>20</v>
      </c>
    </row>
    <row r="23" spans="1:9" ht="18">
      <c r="A23" s="38" t="s">
        <v>150</v>
      </c>
      <c r="B23" s="52">
        <v>34</v>
      </c>
      <c r="C23" s="52">
        <v>0</v>
      </c>
      <c r="D23" s="36">
        <f t="shared" si="0"/>
        <v>34</v>
      </c>
      <c r="G23" s="58">
        <v>8</v>
      </c>
      <c r="H23" s="58">
        <v>11</v>
      </c>
      <c r="I23" s="54">
        <v>34</v>
      </c>
    </row>
    <row r="24" spans="1:9" ht="18">
      <c r="A24" s="38" t="s">
        <v>151</v>
      </c>
      <c r="B24" s="52">
        <v>32</v>
      </c>
      <c r="C24" s="52">
        <v>0</v>
      </c>
      <c r="D24" s="36">
        <f t="shared" si="0"/>
        <v>32</v>
      </c>
      <c r="G24" s="58">
        <v>11</v>
      </c>
      <c r="H24" s="58">
        <v>10.5</v>
      </c>
      <c r="I24" s="54">
        <v>32</v>
      </c>
    </row>
    <row r="25" spans="1:9" ht="18">
      <c r="A25" s="38" t="s">
        <v>152</v>
      </c>
      <c r="B25" s="52">
        <v>43</v>
      </c>
      <c r="C25" s="52">
        <v>0</v>
      </c>
      <c r="D25" s="36">
        <f t="shared" si="0"/>
        <v>43</v>
      </c>
      <c r="G25" s="58">
        <v>9.5</v>
      </c>
      <c r="H25" s="58">
        <v>11</v>
      </c>
      <c r="I25" s="54">
        <v>43</v>
      </c>
    </row>
    <row r="26" spans="1:9" ht="18">
      <c r="A26" s="38" t="s">
        <v>153</v>
      </c>
      <c r="B26" s="52">
        <v>26</v>
      </c>
      <c r="C26" s="52">
        <v>0</v>
      </c>
      <c r="D26" s="36">
        <f t="shared" si="0"/>
        <v>26</v>
      </c>
      <c r="G26" s="58">
        <v>6.5</v>
      </c>
      <c r="H26" s="58">
        <v>12.5</v>
      </c>
      <c r="I26" s="54">
        <v>26</v>
      </c>
    </row>
    <row r="27" spans="1:9" ht="18">
      <c r="A27" s="38" t="s">
        <v>154</v>
      </c>
      <c r="B27" s="52">
        <v>20</v>
      </c>
      <c r="C27" s="52">
        <v>0</v>
      </c>
      <c r="D27" s="36">
        <f t="shared" si="0"/>
        <v>20</v>
      </c>
      <c r="G27" s="58">
        <v>8</v>
      </c>
      <c r="H27" s="58">
        <v>8</v>
      </c>
      <c r="I27" s="54">
        <v>20</v>
      </c>
    </row>
    <row r="28" spans="1:9" ht="18">
      <c r="A28" s="38" t="s">
        <v>155</v>
      </c>
      <c r="B28" s="52">
        <v>30</v>
      </c>
      <c r="C28" s="52">
        <v>0</v>
      </c>
      <c r="D28" s="36">
        <f t="shared" si="0"/>
        <v>30</v>
      </c>
      <c r="G28" s="58">
        <v>10.5</v>
      </c>
      <c r="H28" s="58">
        <v>9</v>
      </c>
      <c r="I28" s="54">
        <v>30</v>
      </c>
    </row>
    <row r="29" spans="1:9" ht="18">
      <c r="A29" s="38" t="s">
        <v>156</v>
      </c>
      <c r="B29" s="52">
        <v>0</v>
      </c>
      <c r="C29" s="52">
        <v>27</v>
      </c>
      <c r="D29" s="36">
        <f t="shared" si="0"/>
        <v>27</v>
      </c>
      <c r="G29" s="58">
        <v>11</v>
      </c>
      <c r="H29" s="58">
        <v>7</v>
      </c>
      <c r="I29" s="54">
        <v>27</v>
      </c>
    </row>
    <row r="30" spans="1:9" ht="18">
      <c r="A30" s="38" t="s">
        <v>157</v>
      </c>
      <c r="B30" s="52">
        <v>0</v>
      </c>
      <c r="C30" s="52">
        <v>14</v>
      </c>
      <c r="D30" s="36">
        <f t="shared" si="0"/>
        <v>14</v>
      </c>
      <c r="G30" s="58">
        <v>10.5</v>
      </c>
      <c r="H30" s="58">
        <v>7</v>
      </c>
      <c r="I30" s="54">
        <v>14</v>
      </c>
    </row>
    <row r="31" spans="1:9" ht="18">
      <c r="A31" s="38" t="s">
        <v>158</v>
      </c>
      <c r="B31" s="52">
        <v>12</v>
      </c>
      <c r="C31" s="52">
        <v>0</v>
      </c>
      <c r="D31" s="36">
        <f t="shared" si="0"/>
        <v>12</v>
      </c>
      <c r="G31" s="58">
        <v>11.5</v>
      </c>
      <c r="H31" s="58">
        <v>14.5</v>
      </c>
      <c r="I31" s="54">
        <v>12</v>
      </c>
    </row>
    <row r="32" spans="1:9" ht="18">
      <c r="A32" s="38" t="s">
        <v>159</v>
      </c>
      <c r="B32" s="52">
        <v>17</v>
      </c>
      <c r="C32" s="52">
        <v>0</v>
      </c>
      <c r="D32" s="36">
        <f t="shared" si="0"/>
        <v>17</v>
      </c>
      <c r="G32" s="58">
        <v>11.5</v>
      </c>
      <c r="H32" s="58">
        <v>12.5</v>
      </c>
      <c r="I32" s="54">
        <v>17</v>
      </c>
    </row>
    <row r="33" spans="1:9" ht="18">
      <c r="A33" s="38" t="s">
        <v>160</v>
      </c>
      <c r="B33" s="52">
        <v>27</v>
      </c>
      <c r="C33" s="52">
        <v>0</v>
      </c>
      <c r="D33" s="36">
        <f t="shared" si="0"/>
        <v>27</v>
      </c>
      <c r="G33" s="58">
        <v>9.5</v>
      </c>
      <c r="H33" s="58">
        <v>10</v>
      </c>
      <c r="I33" s="54">
        <v>27</v>
      </c>
    </row>
    <row r="34" spans="1:9" ht="18">
      <c r="A34" s="38" t="s">
        <v>161</v>
      </c>
      <c r="B34" s="52">
        <v>0</v>
      </c>
      <c r="C34" s="52">
        <v>31</v>
      </c>
      <c r="D34" s="36">
        <f t="shared" si="0"/>
        <v>31</v>
      </c>
      <c r="G34" s="58">
        <v>14</v>
      </c>
      <c r="H34" s="58">
        <v>7.5</v>
      </c>
      <c r="I34" s="54">
        <v>31</v>
      </c>
    </row>
    <row r="35" spans="1:9" ht="18">
      <c r="A35" s="38" t="s">
        <v>162</v>
      </c>
      <c r="B35" s="52">
        <v>13</v>
      </c>
      <c r="C35" s="52">
        <v>0</v>
      </c>
      <c r="D35" s="36">
        <f t="shared" si="0"/>
        <v>13</v>
      </c>
      <c r="G35" s="58">
        <v>8.5</v>
      </c>
      <c r="H35" s="58">
        <v>7.5</v>
      </c>
      <c r="I35" s="54">
        <v>13</v>
      </c>
    </row>
    <row r="36" spans="1:9" ht="18">
      <c r="A36" s="38" t="s">
        <v>163</v>
      </c>
      <c r="B36" s="52">
        <v>0</v>
      </c>
      <c r="C36" s="52">
        <v>18</v>
      </c>
      <c r="D36" s="36">
        <f t="shared" si="0"/>
        <v>18</v>
      </c>
      <c r="G36" s="58">
        <v>9.5</v>
      </c>
      <c r="H36" s="58">
        <v>5.5</v>
      </c>
      <c r="I36" s="54">
        <v>18</v>
      </c>
    </row>
    <row r="37" spans="1:9" ht="18">
      <c r="A37" s="38" t="s">
        <v>164</v>
      </c>
      <c r="B37" s="52">
        <v>0</v>
      </c>
      <c r="C37" s="52">
        <v>41</v>
      </c>
      <c r="D37" s="36">
        <f t="shared" si="0"/>
        <v>41</v>
      </c>
      <c r="G37" s="58">
        <v>14</v>
      </c>
      <c r="H37" s="58">
        <v>9.5</v>
      </c>
      <c r="I37" s="54">
        <v>41</v>
      </c>
    </row>
    <row r="38" spans="1:9" ht="18">
      <c r="A38" s="38" t="s">
        <v>165</v>
      </c>
      <c r="B38" s="52">
        <v>0</v>
      </c>
      <c r="C38" s="52">
        <v>37</v>
      </c>
      <c r="D38" s="36">
        <f t="shared" ref="D38:D61" si="2">SUM(B38:C38)</f>
        <v>37</v>
      </c>
      <c r="G38" s="58">
        <v>13</v>
      </c>
      <c r="H38" s="58">
        <v>8</v>
      </c>
      <c r="I38" s="54">
        <v>37</v>
      </c>
    </row>
    <row r="39" spans="1:9" ht="18">
      <c r="A39" s="38" t="s">
        <v>166</v>
      </c>
      <c r="B39" s="52">
        <v>18</v>
      </c>
      <c r="C39" s="52">
        <v>0</v>
      </c>
      <c r="D39" s="36">
        <f t="shared" si="2"/>
        <v>18</v>
      </c>
      <c r="G39" s="58">
        <v>12</v>
      </c>
      <c r="H39" s="58">
        <v>12</v>
      </c>
      <c r="I39" s="54">
        <v>18</v>
      </c>
    </row>
    <row r="40" spans="1:9" ht="18">
      <c r="A40" s="38" t="s">
        <v>167</v>
      </c>
      <c r="B40" s="52">
        <v>32</v>
      </c>
      <c r="C40" s="52">
        <v>0</v>
      </c>
      <c r="D40" s="36">
        <f t="shared" si="2"/>
        <v>32</v>
      </c>
      <c r="G40" s="58">
        <v>6</v>
      </c>
      <c r="H40" s="58">
        <v>9</v>
      </c>
      <c r="I40" s="54">
        <v>32</v>
      </c>
    </row>
    <row r="41" spans="1:9" ht="18">
      <c r="A41" s="38" t="s">
        <v>168</v>
      </c>
      <c r="B41" s="52">
        <v>0</v>
      </c>
      <c r="C41" s="52">
        <v>21</v>
      </c>
      <c r="D41" s="36">
        <f t="shared" si="2"/>
        <v>21</v>
      </c>
      <c r="G41" s="58">
        <v>14</v>
      </c>
      <c r="H41" s="58">
        <v>7</v>
      </c>
      <c r="I41" s="54">
        <v>21</v>
      </c>
    </row>
    <row r="42" spans="1:9" ht="18">
      <c r="A42" s="38" t="s">
        <v>169</v>
      </c>
      <c r="B42" s="52">
        <v>0</v>
      </c>
      <c r="C42" s="52">
        <v>35</v>
      </c>
      <c r="D42" s="36">
        <f t="shared" si="2"/>
        <v>35</v>
      </c>
      <c r="G42" s="58">
        <v>12</v>
      </c>
      <c r="H42" s="58">
        <v>5</v>
      </c>
      <c r="I42" s="54">
        <v>35</v>
      </c>
    </row>
    <row r="43" spans="1:9" ht="18">
      <c r="A43" s="38" t="s">
        <v>170</v>
      </c>
      <c r="B43" s="52">
        <v>0</v>
      </c>
      <c r="C43" s="52">
        <v>46</v>
      </c>
      <c r="D43" s="36">
        <f t="shared" si="2"/>
        <v>46</v>
      </c>
      <c r="G43" s="58">
        <v>15</v>
      </c>
      <c r="H43" s="58">
        <v>5.5</v>
      </c>
      <c r="I43" s="54">
        <v>46</v>
      </c>
    </row>
    <row r="44" spans="1:9" ht="18">
      <c r="A44" s="38" t="s">
        <v>171</v>
      </c>
      <c r="B44" s="52">
        <v>42</v>
      </c>
      <c r="C44" s="52">
        <v>0</v>
      </c>
      <c r="D44" s="36">
        <f t="shared" si="2"/>
        <v>42</v>
      </c>
      <c r="G44" s="58">
        <v>6.5</v>
      </c>
      <c r="H44" s="58">
        <v>12</v>
      </c>
      <c r="I44" s="54">
        <v>42</v>
      </c>
    </row>
    <row r="45" spans="1:9" ht="18">
      <c r="A45" s="38" t="s">
        <v>172</v>
      </c>
      <c r="B45" s="52">
        <v>0</v>
      </c>
      <c r="C45" s="52">
        <v>29</v>
      </c>
      <c r="D45" s="36">
        <f t="shared" si="2"/>
        <v>29</v>
      </c>
      <c r="G45" s="58">
        <v>13.5</v>
      </c>
      <c r="H45" s="58">
        <v>9.5</v>
      </c>
      <c r="I45" s="54">
        <v>29</v>
      </c>
    </row>
    <row r="46" spans="1:9" ht="18">
      <c r="A46" s="38" t="s">
        <v>173</v>
      </c>
      <c r="B46" s="52">
        <v>12</v>
      </c>
      <c r="C46" s="52">
        <v>0</v>
      </c>
      <c r="D46" s="36">
        <f t="shared" si="2"/>
        <v>12</v>
      </c>
      <c r="G46" s="58">
        <v>6.5</v>
      </c>
      <c r="H46" s="58">
        <v>10.5</v>
      </c>
      <c r="I46" s="54">
        <v>12</v>
      </c>
    </row>
    <row r="47" spans="1:9" ht="18">
      <c r="A47" s="38" t="s">
        <v>174</v>
      </c>
      <c r="B47" s="52">
        <v>28</v>
      </c>
      <c r="C47" s="52">
        <v>0</v>
      </c>
      <c r="D47" s="36">
        <f t="shared" si="2"/>
        <v>28</v>
      </c>
      <c r="G47" s="58">
        <v>11</v>
      </c>
      <c r="H47" s="58">
        <v>14</v>
      </c>
      <c r="I47" s="54">
        <v>28</v>
      </c>
    </row>
    <row r="48" spans="1:9" ht="18">
      <c r="A48" s="38" t="s">
        <v>175</v>
      </c>
      <c r="B48" s="52">
        <v>21</v>
      </c>
      <c r="C48" s="52">
        <v>0</v>
      </c>
      <c r="D48" s="36">
        <f t="shared" si="2"/>
        <v>21</v>
      </c>
      <c r="G48" s="58">
        <v>6</v>
      </c>
      <c r="H48" s="58">
        <v>15</v>
      </c>
      <c r="I48" s="54">
        <v>21</v>
      </c>
    </row>
    <row r="49" spans="1:9" ht="18">
      <c r="A49" s="38" t="s">
        <v>176</v>
      </c>
      <c r="B49" s="52">
        <v>0</v>
      </c>
      <c r="C49" s="52">
        <v>34</v>
      </c>
      <c r="D49" s="36">
        <f t="shared" si="2"/>
        <v>34</v>
      </c>
      <c r="G49" s="58">
        <v>13.5</v>
      </c>
      <c r="H49" s="58">
        <v>7</v>
      </c>
      <c r="I49" s="54">
        <v>34</v>
      </c>
    </row>
    <row r="50" spans="1:9" ht="18">
      <c r="A50" s="38" t="s">
        <v>177</v>
      </c>
      <c r="B50" s="52">
        <v>37</v>
      </c>
      <c r="C50" s="52">
        <v>0</v>
      </c>
      <c r="D50" s="36">
        <f t="shared" si="2"/>
        <v>37</v>
      </c>
      <c r="G50" s="58">
        <v>13</v>
      </c>
      <c r="H50" s="58">
        <v>11.5</v>
      </c>
      <c r="I50" s="54">
        <v>37</v>
      </c>
    </row>
    <row r="51" spans="1:9" ht="18">
      <c r="A51" s="38" t="s">
        <v>178</v>
      </c>
      <c r="B51" s="52">
        <v>18</v>
      </c>
      <c r="C51" s="52">
        <v>5</v>
      </c>
      <c r="D51" s="36">
        <f t="shared" si="2"/>
        <v>23</v>
      </c>
      <c r="G51" s="58">
        <v>10.5</v>
      </c>
      <c r="H51" s="58">
        <v>7.5</v>
      </c>
      <c r="I51" s="54">
        <v>23</v>
      </c>
    </row>
    <row r="52" spans="1:9" ht="18">
      <c r="A52" s="38" t="s">
        <v>179</v>
      </c>
      <c r="B52" s="52">
        <v>0</v>
      </c>
      <c r="C52" s="52">
        <v>25</v>
      </c>
      <c r="D52" s="36">
        <f t="shared" si="2"/>
        <v>25</v>
      </c>
      <c r="G52" s="58">
        <v>9</v>
      </c>
      <c r="H52" s="58">
        <v>5</v>
      </c>
      <c r="I52" s="54">
        <v>25</v>
      </c>
    </row>
    <row r="53" spans="1:9" ht="18">
      <c r="A53" s="38" t="s">
        <v>180</v>
      </c>
      <c r="B53" s="52">
        <v>37</v>
      </c>
      <c r="C53" s="52">
        <v>0</v>
      </c>
      <c r="D53" s="36">
        <f t="shared" si="2"/>
        <v>37</v>
      </c>
      <c r="G53" s="58">
        <v>5.5</v>
      </c>
      <c r="H53" s="58">
        <v>12.5</v>
      </c>
      <c r="I53" s="54">
        <v>37</v>
      </c>
    </row>
    <row r="54" spans="1:9" ht="18">
      <c r="A54" s="38" t="s">
        <v>181</v>
      </c>
      <c r="B54" s="52">
        <v>0</v>
      </c>
      <c r="C54" s="52">
        <v>20</v>
      </c>
      <c r="D54" s="36">
        <f t="shared" si="2"/>
        <v>20</v>
      </c>
      <c r="G54" s="58">
        <v>12</v>
      </c>
      <c r="H54" s="58">
        <v>8</v>
      </c>
      <c r="I54" s="54">
        <v>20</v>
      </c>
    </row>
    <row r="55" spans="1:9" ht="18">
      <c r="A55" s="38" t="s">
        <v>182</v>
      </c>
      <c r="B55" s="52">
        <v>29</v>
      </c>
      <c r="C55" s="52">
        <v>0</v>
      </c>
      <c r="D55" s="36">
        <f t="shared" si="2"/>
        <v>29</v>
      </c>
      <c r="G55" s="58">
        <v>9.5</v>
      </c>
      <c r="H55" s="58">
        <v>9</v>
      </c>
      <c r="I55" s="54">
        <v>29</v>
      </c>
    </row>
    <row r="56" spans="1:9" ht="18">
      <c r="A56" s="38" t="s">
        <v>183</v>
      </c>
      <c r="B56" s="52">
        <v>17</v>
      </c>
      <c r="C56" s="52">
        <v>0</v>
      </c>
      <c r="D56" s="36">
        <f t="shared" si="2"/>
        <v>17</v>
      </c>
      <c r="G56" s="58">
        <v>12</v>
      </c>
      <c r="H56" s="58">
        <v>11</v>
      </c>
      <c r="I56" s="54">
        <v>17</v>
      </c>
    </row>
    <row r="57" spans="1:9" ht="18">
      <c r="A57" s="38" t="s">
        <v>184</v>
      </c>
      <c r="B57" s="52">
        <v>21</v>
      </c>
      <c r="C57" s="52">
        <v>0</v>
      </c>
      <c r="D57" s="36">
        <f t="shared" si="2"/>
        <v>21</v>
      </c>
      <c r="G57" s="58">
        <v>13.5</v>
      </c>
      <c r="H57" s="58">
        <v>13.5</v>
      </c>
      <c r="I57" s="54">
        <v>21</v>
      </c>
    </row>
    <row r="58" spans="1:9" ht="18">
      <c r="A58" s="38" t="s">
        <v>185</v>
      </c>
      <c r="B58" s="52">
        <v>0</v>
      </c>
      <c r="C58" s="52">
        <v>17</v>
      </c>
      <c r="D58" s="36">
        <f t="shared" si="2"/>
        <v>17</v>
      </c>
      <c r="G58" s="58">
        <v>15</v>
      </c>
      <c r="H58" s="58">
        <v>11.5</v>
      </c>
      <c r="I58" s="54">
        <v>17</v>
      </c>
    </row>
    <row r="59" spans="1:9" ht="18">
      <c r="A59" s="38" t="s">
        <v>186</v>
      </c>
      <c r="B59" s="52">
        <v>18</v>
      </c>
      <c r="C59" s="52">
        <v>0</v>
      </c>
      <c r="D59" s="36">
        <f t="shared" si="2"/>
        <v>18</v>
      </c>
      <c r="G59" s="58">
        <v>13.5</v>
      </c>
      <c r="H59" s="58">
        <v>13.5</v>
      </c>
      <c r="I59" s="54">
        <v>18</v>
      </c>
    </row>
    <row r="60" spans="1:9" ht="18">
      <c r="A60" s="38" t="s">
        <v>187</v>
      </c>
      <c r="B60" s="52">
        <v>19</v>
      </c>
      <c r="C60" s="52">
        <v>0</v>
      </c>
      <c r="D60" s="36">
        <f t="shared" si="2"/>
        <v>19</v>
      </c>
      <c r="G60" s="58">
        <v>5</v>
      </c>
      <c r="H60" s="58">
        <v>7.5</v>
      </c>
      <c r="I60" s="54">
        <v>19</v>
      </c>
    </row>
    <row r="61" spans="1:9" ht="18">
      <c r="A61" s="40" t="s">
        <v>188</v>
      </c>
      <c r="B61" s="52">
        <v>20</v>
      </c>
      <c r="C61" s="52">
        <v>0</v>
      </c>
      <c r="D61" s="36">
        <f t="shared" si="2"/>
        <v>20</v>
      </c>
      <c r="G61" s="59">
        <v>8.5</v>
      </c>
      <c r="H61" s="58">
        <v>13</v>
      </c>
      <c r="I61" s="55">
        <v>20</v>
      </c>
    </row>
    <row r="62" spans="1:9">
      <c r="I62" s="27"/>
    </row>
    <row r="63" spans="1:9">
      <c r="A63" t="s">
        <v>189</v>
      </c>
      <c r="B63">
        <f>SUM(B6:B61)</f>
        <v>804</v>
      </c>
      <c r="C63">
        <f>SUM(C6:C61)</f>
        <v>600</v>
      </c>
      <c r="I63" s="25">
        <f>SUM(I6:I61)</f>
        <v>1404</v>
      </c>
    </row>
    <row r="64" spans="1:9">
      <c r="A64" t="s">
        <v>190</v>
      </c>
      <c r="B64" s="26">
        <v>1000</v>
      </c>
      <c r="C64" s="26">
        <v>600</v>
      </c>
    </row>
    <row r="65" spans="1:2">
      <c r="A65" t="s">
        <v>191</v>
      </c>
      <c r="B65" s="62">
        <f>SUMPRODUCT(B6:C61,G6:H61)</f>
        <v>11901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582A252434144887901215C21378D2" ma:contentTypeVersion="5" ma:contentTypeDescription="Create a new document." ma:contentTypeScope="" ma:versionID="7a887cd49149e43f601a1769ba0dcdf6">
  <xsd:schema xmlns:xsd="http://www.w3.org/2001/XMLSchema" xmlns:xs="http://www.w3.org/2001/XMLSchema" xmlns:p="http://schemas.microsoft.com/office/2006/metadata/properties" xmlns:ns3="0406d963-d60a-4c3e-b660-f784943b7cef" targetNamespace="http://schemas.microsoft.com/office/2006/metadata/properties" ma:root="true" ma:fieldsID="2e4583eef6ca8d2300b20fb39e76c36e" ns3:_="">
    <xsd:import namespace="0406d963-d60a-4c3e-b660-f784943b7ce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06d963-d60a-4c3e-b660-f784943b7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406d963-d60a-4c3e-b660-f784943b7cef" xsi:nil="true"/>
  </documentManagement>
</p:properties>
</file>

<file path=customXml/itemProps1.xml><?xml version="1.0" encoding="utf-8"?>
<ds:datastoreItem xmlns:ds="http://schemas.openxmlformats.org/officeDocument/2006/customXml" ds:itemID="{EBED67A0-ED69-49B5-BD30-C1E0AE66559E}"/>
</file>

<file path=customXml/itemProps2.xml><?xml version="1.0" encoding="utf-8"?>
<ds:datastoreItem xmlns:ds="http://schemas.openxmlformats.org/officeDocument/2006/customXml" ds:itemID="{F9CCAE33-A2E7-4E3B-8FD4-0A7A742204A2}"/>
</file>

<file path=customXml/itemProps3.xml><?xml version="1.0" encoding="utf-8"?>
<ds:datastoreItem xmlns:ds="http://schemas.openxmlformats.org/officeDocument/2006/customXml" ds:itemID="{7731A3CD-DF4E-4D7B-B4C7-3F583DB77A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Pham, Martin</dc:creator>
  <cp:keywords/>
  <dc:description/>
  <cp:lastModifiedBy/>
  <cp:revision/>
  <dcterms:created xsi:type="dcterms:W3CDTF">2024-10-29T12:55:32Z</dcterms:created>
  <dcterms:modified xsi:type="dcterms:W3CDTF">2025-05-22T20:09:33Z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0x010100B6582A252434144887901215C21378D2</vt:lpwstr>
  </property>
</Properties>
</file>